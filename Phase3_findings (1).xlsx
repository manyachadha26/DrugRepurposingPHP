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reen ranking" sheetId="2" state="visible" r:id="rId4"/>
    <sheet name="Controls" sheetId="3" state="visible" r:id="rId5"/>
    <sheet name="Cross-structure check" sheetId="4" state="visible" r:id="rId6"/>
    <sheet name="Pose inspection" sheetId="5" state="visible" r:id="rId7"/>
    <sheet name="Ligand model" sheetId="6" state="visible" r:id="rId8"/>
    <sheet name="What we may claim" sheetId="7" state="visible" r:id="rId9"/>
    <sheet name="Sitagliptin pharmacolog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<sst xmlns="http://schemas.openxmlformats.org/spreadsheetml/2006/main" count="431" uniqueCount="188">
  <si>
    <t xml:space="preserve">Phase 3 — the antidiabetic screen</t>
  </si>
  <si>
    <t xml:space="preserve">34 antidiabetic drugs plus 6 known PDE4 inhibitors, ranked by the method validated in Phase 2 (AUC 0.822). The 6 known drugs were mixed in blind as a check: if the method could not find them, nothing else here would mean anything.</t>
  </si>
  <si>
    <t xml:space="preserve">RESULT: one candidate — sitagliptin.</t>
  </si>
  <si>
    <t xml:space="preserve">Sheet</t>
  </si>
  <si>
    <t xml:space="preserve">What is in it</t>
  </si>
  <si>
    <t xml:space="preserve">Screen ranking</t>
  </si>
  <si>
    <t xml:space="preserve">All 41 compounds, ranked, with the contacts each one makes</t>
  </si>
  <si>
    <t xml:space="preserve">Controls</t>
  </si>
  <si>
    <t xml:space="preserve">Where the 6 known PDE4 drugs landed</t>
  </si>
  <si>
    <t xml:space="preserve">Cross-structure check</t>
  </si>
  <si>
    <t xml:space="preserve">Whether the hits survive in a second crystal structure</t>
  </si>
  <si>
    <t xml:space="preserve">Pose inspection</t>
  </si>
  <si>
    <t xml:space="preserve">Visual check against the crystal reference</t>
  </si>
  <si>
    <t xml:space="preserve">Ligand model</t>
  </si>
  <si>
    <t xml:space="preserve">A second model, and why it could not corroborate</t>
  </si>
  <si>
    <t xml:space="preserve">What we may claim</t>
  </si>
  <si>
    <t xml:space="preserve">The exact wording limits</t>
  </si>
  <si>
    <t xml:space="preserve">Receptors: 1XOQ and 1XMU, both with their metal-coordinating waters kept. 7CBQ was excluded for failing the redocking gate (3.511 Å).</t>
  </si>
  <si>
    <t xml:space="preserve">All 41 compounds, ranked</t>
  </si>
  <si>
    <t xml:space="preserve">'Probability' is how closely the pose resembles a known PDE4 inhibitor's contact pattern. '% actives below' is the share of the 146 known actives this compound outranks. Blue rows are the known PDE4 drugs included as controls.</t>
  </si>
  <si>
    <t xml:space="preserve">Rank</t>
  </si>
  <si>
    <t xml:space="preserve">Compound</t>
  </si>
  <si>
    <t xml:space="preserve">Control?</t>
  </si>
  <si>
    <t xml:space="preserve">Probability</t>
  </si>
  <si>
    <t xml:space="preserve">% actives below</t>
  </si>
  <si>
    <t xml:space="preserve">Distance to Gln369 (Å)</t>
  </si>
  <si>
    <t xml:space="preserve">H-bonds Gln369?</t>
  </si>
  <si>
    <t xml:space="preserve">Clamp contacts</t>
  </si>
  <si>
    <t xml:space="preserve">Distance to metal (Å)</t>
  </si>
  <si>
    <t xml:space="preserve">Buried fraction</t>
  </si>
  <si>
    <t xml:space="preserve">zardaverine</t>
  </si>
  <si>
    <t xml:space="preserve">yes</t>
  </si>
  <si>
    <t xml:space="preserve">roflumilast</t>
  </si>
  <si>
    <t xml:space="preserve">apremilast</t>
  </si>
  <si>
    <t xml:space="preserve">rolipram</t>
  </si>
  <si>
    <t xml:space="preserve">sotagliflozin</t>
  </si>
  <si>
    <t xml:space="preserve">sitagliptin</t>
  </si>
  <si>
    <t xml:space="preserve">mitiglinide</t>
  </si>
  <si>
    <t xml:space="preserve">nateglinide</t>
  </si>
  <si>
    <t xml:space="preserve">no</t>
  </si>
  <si>
    <t xml:space="preserve">theophylline</t>
  </si>
  <si>
    <t xml:space="preserve">cilomilast</t>
  </si>
  <si>
    <t xml:space="preserve">metformin_prot</t>
  </si>
  <si>
    <t xml:space="preserve">miglitol</t>
  </si>
  <si>
    <t xml:space="preserve">cilomilast_anion</t>
  </si>
  <si>
    <t xml:space="preserve">gemigliptin</t>
  </si>
  <si>
    <t xml:space="preserve">glimepiride</t>
  </si>
  <si>
    <t xml:space="preserve">repaglinide</t>
  </si>
  <si>
    <t xml:space="preserve">teneligliptin</t>
  </si>
  <si>
    <t xml:space="preserve">acarbose</t>
  </si>
  <si>
    <t xml:space="preserve">tolbutamide</t>
  </si>
  <si>
    <t xml:space="preserve">rosiglitazone</t>
  </si>
  <si>
    <t xml:space="preserve">metformin</t>
  </si>
  <si>
    <t xml:space="preserve">linagliptin</t>
  </si>
  <si>
    <t xml:space="preserve">glyburide_glibenclamide</t>
  </si>
  <si>
    <t xml:space="preserve">dapagliflozin</t>
  </si>
  <si>
    <t xml:space="preserve">voglibose</t>
  </si>
  <si>
    <t xml:space="preserve">lobeglitazone</t>
  </si>
  <si>
    <t xml:space="preserve">glipizide</t>
  </si>
  <si>
    <t xml:space="preserve">acetohexamide</t>
  </si>
  <si>
    <t xml:space="preserve">bromocriptine</t>
  </si>
  <si>
    <t xml:space="preserve">ertugliflozin</t>
  </si>
  <si>
    <t xml:space="preserve">tolazamide</t>
  </si>
  <si>
    <t xml:space="preserve">vildagliptin</t>
  </si>
  <si>
    <t xml:space="preserve">chlorpropamide</t>
  </si>
  <si>
    <t xml:space="preserve">alogliptin</t>
  </si>
  <si>
    <t xml:space="preserve">empagliflozin</t>
  </si>
  <si>
    <t xml:space="preserve">pioglitazone</t>
  </si>
  <si>
    <t xml:space="preserve">gliclazide</t>
  </si>
  <si>
    <t xml:space="preserve">chiglitazar</t>
  </si>
  <si>
    <t xml:space="preserve">ipragliflozin</t>
  </si>
  <si>
    <t xml:space="preserve">saxagliptin</t>
  </si>
  <si>
    <t xml:space="preserve">canagliflozin</t>
  </si>
  <si>
    <t xml:space="preserve">A hydrogen bond to Gln369 is counted at 3.5 Å or closer. Zardaverine at 3.49 Å and 3.68 Å in the two structures shows how sharp that cut-off is.</t>
  </si>
  <si>
    <t xml:space="preserve">Did the method find the drugs we already knew about?</t>
  </si>
  <si>
    <t xml:space="preserve">Six known PDE4 inhibitors were mixed into the library without telling the method. This is the check that licenses everything else.</t>
  </si>
  <si>
    <t xml:space="preserve">Control</t>
  </si>
  <si>
    <t xml:space="preserve">Rank of 41</t>
  </si>
  <si>
    <t xml:space="preserve">Expected?</t>
  </si>
  <si>
    <t xml:space="preserve">Comment</t>
  </si>
  <si>
    <t xml:space="preserve">CORRECT, not a failure. Its PDE4 IC50 is around 100 µM, about a thousandfold weaker than the compounds the model was trained on. A method that put it beside roflumilast would be the broken one.</t>
  </si>
  <si>
    <t xml:space="preserve">NO</t>
  </si>
  <si>
    <t xml:space="preserve">A genuine miss. It is potent (~100 nM) and was ranked mid-pack. Re-docking it as the anion made it worse (rank 13), so protonation is not the explanation — that was tested and rejected. Its pose is fine; the scoring missed it.</t>
  </si>
  <si>
    <t xml:space="preserve">All 6 controls in the top 10 of 41: p = 5.5e-05. 4 of 6 took ranks 1-4: p = 1.6e-04. Controls vs library, Mann-Whitney p = 1.7e-05.</t>
  </si>
  <si>
    <t xml:space="preserve">The cilomilast miss matters: the model leans heavily on how buried a compound is, and cilomilast is smaller and less enclosed than its training set. That is the known weakness and belongs in the limitations.</t>
  </si>
  <si>
    <t xml:space="preserve">Do the hits survive in a second crystal structure?</t>
  </si>
  <si>
    <t xml:space="preserve">A pocket is not rigid. A compound that fits one structure can fail in another of the same protein. A compound counts as consistent only if it hydrogen-bonds Gln369 AND touches a clamp phenylalanine in BOTH structures. That rule was fixed before looking at any result.</t>
  </si>
  <si>
    <t xml:space="preserve">1XOQ: distance to Gln (Å)</t>
  </si>
  <si>
    <t xml:space="preserve">1XOQ: H-bond?</t>
  </si>
  <si>
    <t xml:space="preserve">1XMU: distance to Gln (Å)</t>
  </si>
  <si>
    <t xml:space="preserve">1XMU: H-bond?</t>
  </si>
  <si>
    <t xml:space="preserve">Satisfied in</t>
  </si>
  <si>
    <t xml:space="preserve">one structure</t>
  </si>
  <si>
    <t xml:space="preserve">BOTH</t>
  </si>
  <si>
    <t xml:space="preserve">neither</t>
  </si>
  <si>
    <t xml:space="preserve">The two structures agree on 36 of 41 compounds (88%). 5 of 6 controls are consistent.</t>
  </si>
  <si>
    <t xml:space="preserve">SOTAGLIFLOZIN FAILED. 3.24 Å in 1XOQ, 4.47 Å in 1XMU — it loses the glutamine hydrogen bond entirely. It was ranked 5th and would have gone into the paper as a hit without this test.</t>
  </si>
  <si>
    <t xml:space="preserve">SITAGLIPTIN HELD. 3.13 Å and 3.03 Å. Same binding mode in two independent conformations.</t>
  </si>
  <si>
    <t xml:space="preserve">CAREFUL: 14 of 41 compounds satisfy the pharmacophore in both structures, including metformin and rosiglitazone. Satisfying it is NECESSARY, not SUFFICIENT. What separates sitagliptin (rank 6, 65%) from metformin (rank 21, 12%) is the ranking. The 14 are not 14 hits.</t>
  </si>
  <si>
    <t xml:space="preserve">Each pose was compared in PyMOL against crystallographic roflumilast — where a real PDE4 inhibitor actually sits. This check does not depend on the model at all.</t>
  </si>
  <si>
    <t xml:space="preserve">Atoms overlapping roflumilast</t>
  </si>
  <si>
    <t xml:space="preserve">Total atoms</t>
  </si>
  <si>
    <t xml:space="preserve">Overlap %</t>
  </si>
  <si>
    <t xml:space="preserve">Contacts under 2.5 Å from metals/waters</t>
  </si>
  <si>
    <t xml:space="preserve">cilomilast (known inhibitor)</t>
  </si>
  <si>
    <t xml:space="preserve">Overlap is counted as ligand atoms within 2.0 Å of any roflumilast atom.</t>
  </si>
  <si>
    <t xml:space="preserve">Both candidates occupy essentially the same pocket volume as a marketed inhibitor.</t>
  </si>
  <si>
    <t xml:space="preserve">Cilomilast has the BEST overlap of the three and was still mis-ranked. That confirms the weakness is in scoring, not in pose generation — which cuts in favour of the hits, since it means the method produces false negatives rather than inflated positives.</t>
  </si>
  <si>
    <t xml:space="preserve">A random forest trained on 2D structure alone — no protein, no docking — on the same 146 actives and 2,246 decoys.</t>
  </si>
  <si>
    <t xml:space="preserve">Measure</t>
  </si>
  <si>
    <t xml:space="preserve">Value</t>
  </si>
  <si>
    <t xml:space="preserve">Out-of-fold AUC</t>
  </si>
  <si>
    <t xml:space="preserve">INFLATED BY THE BENCHMARK DESIGN. The decoys were chosen to have Tanimoto below 0.35 to every active, so a fingerprint model separates them almost perfectly by rediscovering the selection rule. Do NOT report this as better than the structure-based 0.822.</t>
  </si>
  <si>
    <t xml:space="preserve">Permutation control</t>
  </si>
  <si>
    <t xml:space="preserve">Clean — no leakage</t>
  </si>
  <si>
    <t xml:space="preserve">ranks 1-6</t>
  </si>
  <si>
    <t xml:space="preserve">It finds known PDE4 drugs easily</t>
  </si>
  <si>
    <t xml:space="preserve">rank 14, 0%</t>
  </si>
  <si>
    <t xml:space="preserve">rank 20, 0%</t>
  </si>
  <si>
    <t xml:space="preserve">This is NOT evidence against the hits. A ligand-based model cannot score a novel chemotype highly — it only recognises what it has seen, and with decoys chosen for dissimilarity it scores every unfamiliar scaffold near zero. It put ALL 34 antidiabetics at the bottom.</t>
  </si>
  <si>
    <t xml:space="preserve">CONSEQUENCE, stated plainly: the sitagliptin result has no independent corroboration. It rests on the structure-based evidence alone.</t>
  </si>
  <si>
    <t xml:space="preserve">Worth reporting anyway: ligand-based screening put all six known drugs in the top six and every novel chemotype at the bottom, while structure-based screening found candidates in unrelated drug classes. That is a concrete demonstration of why repurposing across chemotypes needs structure.</t>
  </si>
  <si>
    <t xml:space="preserve">Agreed in advance, so nobody has to decide this while drafting.</t>
  </si>
  <si>
    <t xml:space="preserve">May be written</t>
  </si>
  <si>
    <t xml:space="preserve">May NOT be written</t>
  </si>
  <si>
    <t xml:space="preserve">Sitagliptin occupies the PDE4D catalytic pocket and reproduces the canonical PDE4 interaction pattern in two independent crystal conformations.</t>
  </si>
  <si>
    <t xml:space="preserve">Sitagliptin is a predicted PDE4D inhibitor.</t>
  </si>
  <si>
    <t xml:space="preserve">It is a candidate for experimental testing.</t>
  </si>
  <si>
    <t xml:space="preserve">Any estimated IC50, Ki or binding affinity.</t>
  </si>
  <si>
    <t xml:space="preserve">It ranks above theophylline and cilomilast, both marketed PDE4 inhibitors, in this ranking.</t>
  </si>
  <si>
    <t xml:space="preserve">Any ordering presented as a potency ranking.</t>
  </si>
  <si>
    <t xml:space="preserve">Sotagliflozin satisfied the pharmacophore in one structure but not the second, and is reported as conformation-dependent.</t>
  </si>
  <si>
    <t xml:space="preserve">Sotagliflozin as a hit.</t>
  </si>
  <si>
    <t xml:space="preserve">Docking was used to assess pocket occupancy and interaction pattern, not to predict affinity, because score-based ranking did not reach usable enrichment on a matched benchmark for this target.</t>
  </si>
  <si>
    <t xml:space="preserve">Any docking score reported as a predicted potency.</t>
  </si>
  <si>
    <t xml:space="preserve">Still to do: cross-validate the expression finding against a second kidney dataset; verify sitagliptin's renal distribution against pharmacokinetic sources; MD and MM-GBSA (needs a GPU, declared as future work).</t>
  </si>
  <si>
    <t xml:space="preserve">Does sitagliptin reach the cells where PDE4D is expressed?</t>
  </si>
  <si>
    <t xml:space="preserve">The screen's one surviving candidate. This sheet is the argument that connects it to the target: the kidney actively pumps this drug out of blood and into proximal tubule cells, which is where the expression data puts PDE4D.</t>
  </si>
  <si>
    <t xml:space="preserve">The chain of evidence</t>
  </si>
  <si>
    <t xml:space="preserve">Step</t>
  </si>
  <si>
    <t xml:space="preserve">What is shown</t>
  </si>
  <si>
    <t xml:space="preserve">Source</t>
  </si>
  <si>
    <t xml:space="preserve">1. The kidney clears it</t>
  </si>
  <si>
    <t xml:space="preserve">About 79% excreted unchanged in urine; renal excretion is the primary route</t>
  </si>
  <si>
    <t xml:space="preserve">FDA label (Januvia), section 12.3</t>
  </si>
  <si>
    <t xml:space="preserve">2. By active secretion, not just filtration</t>
  </si>
  <si>
    <t xml:space="preserve">Renal clearance is about 5x higher than filtration alone could produce — see the calculation below</t>
  </si>
  <si>
    <t xml:space="preserve">Herman et al. 2005; FDA label</t>
  </si>
  <si>
    <t xml:space="preserve">3. Through OAT3</t>
  </si>
  <si>
    <t xml:space="preserve">Sitagliptin is a substrate of human OAT3, measured Km = 162 µM</t>
  </si>
  <si>
    <t xml:space="preserve">Chu et al., JPET 2007;321(2):673</t>
  </si>
  <si>
    <t xml:space="preserve">4. OAT3 sits on proximal tubule cells</t>
  </si>
  <si>
    <t xml:space="preserve">Basolateral (blood-facing) membrane of proximal tubule cells</t>
  </si>
  <si>
    <t xml:space="preserve">Hagos &amp; Wolff 2010; Nigam et al. (CJASN)</t>
  </si>
  <si>
    <t xml:space="preserve">5. Which is where PDE4D is</t>
  </si>
  <si>
    <t xml:space="preserve">PDE4D is the dominant PDE4 isoform in proximal tubule in both HPA and KPMP</t>
  </si>
  <si>
    <t xml:space="preserve">This project, Phase 1 and the Task 1 cross-check</t>
  </si>
  <si>
    <t xml:space="preserve">The calculation: does clearance prove secretion?</t>
  </si>
  <si>
    <t xml:space="preserve">Quantity</t>
  </si>
  <si>
    <t xml:space="preserve">Unit</t>
  </si>
  <si>
    <t xml:space="preserve">Where it comes from</t>
  </si>
  <si>
    <t xml:space="preserve">Glomerular filtration rate (GFR)</t>
  </si>
  <si>
    <t xml:space="preserve">mL/min</t>
  </si>
  <si>
    <t xml:space="preserve">Typical healthy adult. ASSUMPTION — not measured in this project</t>
  </si>
  <si>
    <t xml:space="preserve">Plasma protein binding</t>
  </si>
  <si>
    <t xml:space="preserve">fraction</t>
  </si>
  <si>
    <t xml:space="preserve">FDA label, section 12.3</t>
  </si>
  <si>
    <t xml:space="preserve">Unbound fraction</t>
  </si>
  <si>
    <t xml:space="preserve">Calculated: 1 minus protein binding</t>
  </si>
  <si>
    <t xml:space="preserve">Clearance if ONLY filtered</t>
  </si>
  <si>
    <t xml:space="preserve">Calculated: only the unbound drug is filtered</t>
  </si>
  <si>
    <t xml:space="preserve">Observed renal clearance</t>
  </si>
  <si>
    <t xml:space="preserve">Herman et al. 2005 (the label gives about 350)</t>
  </si>
  <si>
    <t xml:space="preserve">Ratio, observed to filtration-only</t>
  </si>
  <si>
    <t xml:space="preserve">times</t>
  </si>
  <si>
    <t xml:space="preserve">Calculated</t>
  </si>
  <si>
    <t xml:space="preserve">A drug that is only filtered cannot be cleared faster than GFR times its unbound fraction. Being 5x above that means the kidney is actively secreting it — pumping it out of blood into the tubule.</t>
  </si>
  <si>
    <t xml:space="preserve">Renal plasma flow is roughly 600-700 mL/min, so 388 is physically possible. It does not exceed what the kidney can deliver.</t>
  </si>
  <si>
    <t xml:space="preserve">The GFR of 125 mL/min is a textbook figure, not a measurement from these subjects. Even at a conservative GFR the ratio stays well above 1, but state the assumption.</t>
  </si>
  <si>
    <t xml:space="preserve">What this does NOT show</t>
  </si>
  <si>
    <t xml:space="preserve">Limit</t>
  </si>
  <si>
    <t xml:space="preserve">Why</t>
  </si>
  <si>
    <t xml:space="preserve">No kidney tissue concentration</t>
  </si>
  <si>
    <t xml:space="preserve">Searched and not found. Do not write one.</t>
  </si>
  <si>
    <t xml:space="preserve">The OAT3 Km does not imply accumulation</t>
  </si>
  <si>
    <t xml:space="preserve">Km 162 µM is about 170x higher than the 950 nM plasma Cmax, so transport is far from saturated. That shows uptake happens, not how much builds up inside the cell.</t>
  </si>
  <si>
    <t xml:space="preserve">No inhibition of PDE4D is shown</t>
  </si>
  <si>
    <t xml:space="preserve">Nothing here or in the screen measures whether sitagliptin inhibits the enzyme. Only an assay settles that.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</si>
</sst>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111"/>
      <name val="Georgia"/>
      <family val="0"/>
      <charset val="1"/>
    </font>
    <font>
      <sz val="10.5"/>
      <color rgb="FF3D3650"/>
      <name val="Georgia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5A5368"/>
      <name val="Georgia"/>
      <family val="0"/>
      <charset val="1"/>
    </font>
    <font>
      <b val="true"/>
      <sz val="10"/>
      <color rgb="FF1111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8CEEE"/>
        <bgColor rgb="FFE2DEEC"/>
      </patternFill>
    </fill>
    <fill>
      <patternFill patternType="solid">
        <fgColor rgb="FF111111"/>
        <bgColor rgb="FF1A1A1A"/>
      </patternFill>
    </fill>
    <fill>
      <patternFill patternType="solid">
        <fgColor rgb="FFF4F1FA"/>
        <bgColor rgb="FFEFEBF9"/>
      </patternFill>
    </fill>
    <fill>
      <patternFill patternType="solid">
        <fgColor rgb="FFEFEBF9"/>
        <bgColor rgb="FFF4F1FA"/>
      </patternFill>
    </fill>
    <fill>
      <patternFill patternType="solid">
        <fgColor rgb="FFFFFFFF"/>
        <bgColor rgb="FFF4F1FA"/>
      </patternFill>
    </fill>
    <fill>
      <patternFill patternType="solid">
        <fgColor rgb="FFE9E9E9"/>
        <bgColor rgb="FFEFEB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EEC"/>
      </left>
      <right style="thin">
        <color rgb="FFE2DEEC"/>
      </right>
      <top style="thin">
        <color rgb="FFE2DEEC"/>
      </top>
      <bottom style="thin">
        <color rgb="FFE2DE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1FA"/>
      <rgbColor rgb="FFE9E9E9"/>
      <rgbColor rgb="FF660066"/>
      <rgbColor rgb="FFFF8080"/>
      <rgbColor rgb="FF0066CC"/>
      <rgbColor rgb="FFD8CE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BF9"/>
      <rgbColor rgb="FFE2DEE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368"/>
      <rgbColor rgb="FF969696"/>
      <rgbColor rgb="FF1F3864"/>
      <rgbColor rgb="FF339966"/>
      <rgbColor rgb="FF111111"/>
      <rgbColor rgb="FF1A1A1A"/>
      <rgbColor rgb="FF993300"/>
      <rgbColor rgb="FF993366"/>
      <rgbColor rgb="FF333399"/>
      <rgbColor rgb="FF3D3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0</v>
      </c>
    </row>
    <row r="2" customFormat="false" ht="132.8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31.5" hidden="false" customHeight="tru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5" t="s">
        <v>6</v>
      </c>
    </row>
    <row r="8" customFormat="false" ht="15" hidden="false" customHeight="false" outlineLevel="0" collapsed="false">
      <c r="A8" s="6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5" t="s">
        <v>10</v>
      </c>
    </row>
    <row r="10" customFormat="false" ht="15" hidden="false" customHeight="false" outlineLevel="0" collapsed="false">
      <c r="A10" s="6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5" t="s">
        <v>14</v>
      </c>
    </row>
    <row r="12" customFormat="false" ht="15" hidden="false" customHeight="false" outlineLevel="0" collapsed="false">
      <c r="A12" s="6" t="s">
        <v>15</v>
      </c>
      <c r="B12" s="6" t="s">
        <v>16</v>
      </c>
    </row>
    <row r="15" customFormat="false" ht="64.15" hidden="false" customHeight="false" outlineLevel="0" collapsed="false">
      <c r="A15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" t="s">
        <v>18</v>
      </c>
    </row>
    <row r="2" customFormat="false" ht="621.6" hidden="false" customHeight="false" outlineLevel="0" collapsed="false">
      <c r="A2" s="2" t="s">
        <v>19</v>
      </c>
    </row>
    <row r="4" customFormat="false" ht="31.5" hidden="false" customHeight="tru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</row>
    <row r="5" customFormat="false" ht="15" hidden="false" customHeight="false" outlineLevel="0" collapsed="false">
      <c r="A5" s="8" t="n">
        <v>1</v>
      </c>
      <c r="B5" s="8" t="s">
        <v>30</v>
      </c>
      <c r="C5" s="8" t="s">
        <v>31</v>
      </c>
      <c r="D5" s="8" t="n">
        <v>0.971</v>
      </c>
      <c r="E5" s="8" t="n">
        <v>92</v>
      </c>
      <c r="F5" s="8" t="n">
        <v>3.49</v>
      </c>
      <c r="G5" s="8" t="s">
        <v>31</v>
      </c>
      <c r="H5" s="8" t="n">
        <v>2</v>
      </c>
      <c r="I5" s="8" t="n">
        <v>3.64</v>
      </c>
      <c r="J5" s="8" t="n">
        <v>0.58</v>
      </c>
    </row>
    <row r="6" customFormat="false" ht="15" hidden="false" customHeight="false" outlineLevel="0" collapsed="false">
      <c r="A6" s="8" t="n">
        <v>2</v>
      </c>
      <c r="B6" s="8" t="s">
        <v>32</v>
      </c>
      <c r="C6" s="8" t="s">
        <v>31</v>
      </c>
      <c r="D6" s="8" t="n">
        <v>0.963</v>
      </c>
      <c r="E6" s="8" t="n">
        <v>90</v>
      </c>
      <c r="F6" s="8" t="n">
        <v>2.9</v>
      </c>
      <c r="G6" s="8" t="s">
        <v>31</v>
      </c>
      <c r="H6" s="8" t="n">
        <v>2</v>
      </c>
      <c r="I6" s="8" t="n">
        <v>4.13</v>
      </c>
      <c r="J6" s="8" t="n">
        <v>0.38</v>
      </c>
    </row>
    <row r="7" customFormat="false" ht="15" hidden="false" customHeight="false" outlineLevel="0" collapsed="false">
      <c r="A7" s="8" t="n">
        <v>3</v>
      </c>
      <c r="B7" s="8" t="s">
        <v>33</v>
      </c>
      <c r="C7" s="8" t="s">
        <v>31</v>
      </c>
      <c r="D7" s="8" t="n">
        <v>0.953</v>
      </c>
      <c r="E7" s="8" t="n">
        <v>88</v>
      </c>
      <c r="F7" s="8" t="n">
        <v>2.8</v>
      </c>
      <c r="G7" s="8" t="s">
        <v>31</v>
      </c>
      <c r="H7" s="8" t="n">
        <v>2</v>
      </c>
      <c r="I7" s="8" t="n">
        <v>4.87</v>
      </c>
      <c r="J7" s="8" t="n">
        <v>0.38</v>
      </c>
    </row>
    <row r="8" customFormat="false" ht="15" hidden="false" customHeight="false" outlineLevel="0" collapsed="false">
      <c r="A8" s="8" t="n">
        <v>4</v>
      </c>
      <c r="B8" s="8" t="s">
        <v>34</v>
      </c>
      <c r="C8" s="8" t="s">
        <v>31</v>
      </c>
      <c r="D8" s="8" t="n">
        <v>0.948</v>
      </c>
      <c r="E8" s="8" t="n">
        <v>87</v>
      </c>
      <c r="F8" s="8" t="n">
        <v>2.88</v>
      </c>
      <c r="G8" s="8" t="s">
        <v>31</v>
      </c>
      <c r="H8" s="8" t="n">
        <v>2</v>
      </c>
      <c r="I8" s="8" t="n">
        <v>4.83</v>
      </c>
      <c r="J8" s="8" t="n">
        <v>0.55</v>
      </c>
    </row>
    <row r="9" customFormat="false" ht="15" hidden="false" customHeight="false" outlineLevel="0" collapsed="false">
      <c r="A9" s="5" t="n">
        <v>5</v>
      </c>
      <c r="B9" s="5" t="s">
        <v>35</v>
      </c>
      <c r="C9" s="5"/>
      <c r="D9" s="5" t="n">
        <v>0.873</v>
      </c>
      <c r="E9" s="5" t="n">
        <v>71</v>
      </c>
      <c r="F9" s="5" t="n">
        <v>3.24</v>
      </c>
      <c r="G9" s="5" t="s">
        <v>31</v>
      </c>
      <c r="H9" s="5" t="n">
        <v>2</v>
      </c>
      <c r="I9" s="5" t="n">
        <v>3.58</v>
      </c>
      <c r="J9" s="5" t="n">
        <v>0.36</v>
      </c>
    </row>
    <row r="10" customFormat="false" ht="15" hidden="false" customHeight="false" outlineLevel="0" collapsed="false">
      <c r="A10" s="9" t="n">
        <v>6</v>
      </c>
      <c r="B10" s="9" t="s">
        <v>36</v>
      </c>
      <c r="C10" s="9"/>
      <c r="D10" s="9" t="n">
        <v>0.856</v>
      </c>
      <c r="E10" s="9" t="n">
        <v>65</v>
      </c>
      <c r="F10" s="9" t="n">
        <v>3.13</v>
      </c>
      <c r="G10" s="9" t="s">
        <v>31</v>
      </c>
      <c r="H10" s="9" t="n">
        <v>2</v>
      </c>
      <c r="I10" s="9" t="n">
        <v>4</v>
      </c>
      <c r="J10" s="9" t="n">
        <v>0.39</v>
      </c>
    </row>
    <row r="11" customFormat="false" ht="15" hidden="false" customHeight="false" outlineLevel="0" collapsed="false">
      <c r="A11" s="5" t="n">
        <v>7</v>
      </c>
      <c r="B11" s="5" t="s">
        <v>37</v>
      </c>
      <c r="C11" s="5"/>
      <c r="D11" s="5" t="n">
        <v>0.771</v>
      </c>
      <c r="E11" s="5" t="n">
        <v>49</v>
      </c>
      <c r="F11" s="5" t="n">
        <v>2.98</v>
      </c>
      <c r="G11" s="5" t="s">
        <v>31</v>
      </c>
      <c r="H11" s="5" t="n">
        <v>2</v>
      </c>
      <c r="I11" s="5" t="n">
        <v>5.76</v>
      </c>
      <c r="J11" s="5" t="n">
        <v>0.48</v>
      </c>
    </row>
    <row r="12" customFormat="false" ht="15" hidden="false" customHeight="false" outlineLevel="0" collapsed="false">
      <c r="A12" s="6" t="n">
        <v>8</v>
      </c>
      <c r="B12" s="6" t="s">
        <v>38</v>
      </c>
      <c r="C12" s="6"/>
      <c r="D12" s="6" t="n">
        <v>0.741</v>
      </c>
      <c r="E12" s="6" t="n">
        <v>45</v>
      </c>
      <c r="F12" s="6" t="n">
        <v>7.96</v>
      </c>
      <c r="G12" s="6" t="s">
        <v>39</v>
      </c>
      <c r="H12" s="6" t="n">
        <v>2</v>
      </c>
      <c r="I12" s="6" t="n">
        <v>4.38</v>
      </c>
      <c r="J12" s="6" t="n">
        <v>0.35</v>
      </c>
    </row>
    <row r="13" customFormat="false" ht="15" hidden="false" customHeight="false" outlineLevel="0" collapsed="false">
      <c r="A13" s="8" t="n">
        <v>9</v>
      </c>
      <c r="B13" s="8" t="s">
        <v>40</v>
      </c>
      <c r="C13" s="8" t="s">
        <v>31</v>
      </c>
      <c r="D13" s="8" t="n">
        <v>0.712</v>
      </c>
      <c r="E13" s="8" t="n">
        <v>40</v>
      </c>
      <c r="F13" s="8" t="n">
        <v>3.05</v>
      </c>
      <c r="G13" s="8" t="s">
        <v>31</v>
      </c>
      <c r="H13" s="8" t="n">
        <v>2</v>
      </c>
      <c r="I13" s="8" t="n">
        <v>6.47</v>
      </c>
      <c r="J13" s="8" t="n">
        <v>0.46</v>
      </c>
    </row>
    <row r="14" customFormat="false" ht="15" hidden="false" customHeight="false" outlineLevel="0" collapsed="false">
      <c r="A14" s="8" t="n">
        <v>10</v>
      </c>
      <c r="B14" s="8" t="s">
        <v>41</v>
      </c>
      <c r="C14" s="8" t="s">
        <v>31</v>
      </c>
      <c r="D14" s="8" t="n">
        <v>0.71</v>
      </c>
      <c r="E14" s="8" t="n">
        <v>40</v>
      </c>
      <c r="F14" s="8" t="n">
        <v>3.1</v>
      </c>
      <c r="G14" s="8" t="s">
        <v>31</v>
      </c>
      <c r="H14" s="8" t="n">
        <v>2</v>
      </c>
      <c r="I14" s="8" t="n">
        <v>5</v>
      </c>
      <c r="J14" s="8" t="n">
        <v>0.32</v>
      </c>
    </row>
    <row r="15" customFormat="false" ht="15" hidden="false" customHeight="false" outlineLevel="0" collapsed="false">
      <c r="A15" s="5" t="n">
        <v>11</v>
      </c>
      <c r="B15" s="5" t="s">
        <v>42</v>
      </c>
      <c r="C15" s="5"/>
      <c r="D15" s="5" t="n">
        <v>0.64</v>
      </c>
      <c r="E15" s="5" t="n">
        <v>31</v>
      </c>
      <c r="F15" s="5" t="n">
        <v>3.2</v>
      </c>
      <c r="G15" s="5" t="s">
        <v>31</v>
      </c>
      <c r="H15" s="5" t="n">
        <v>2</v>
      </c>
      <c r="I15" s="5" t="n">
        <v>7.58</v>
      </c>
      <c r="J15" s="5" t="n">
        <v>0.67</v>
      </c>
    </row>
    <row r="16" customFormat="false" ht="15" hidden="false" customHeight="false" outlineLevel="0" collapsed="false">
      <c r="A16" s="6" t="n">
        <v>12</v>
      </c>
      <c r="B16" s="6" t="s">
        <v>43</v>
      </c>
      <c r="C16" s="6"/>
      <c r="D16" s="6" t="n">
        <v>0.586</v>
      </c>
      <c r="E16" s="6" t="n">
        <v>27</v>
      </c>
      <c r="F16" s="6" t="n">
        <v>3.31</v>
      </c>
      <c r="G16" s="6" t="s">
        <v>31</v>
      </c>
      <c r="H16" s="6" t="n">
        <v>2</v>
      </c>
      <c r="I16" s="6" t="n">
        <v>4.85</v>
      </c>
      <c r="J16" s="6" t="n">
        <v>0.21</v>
      </c>
    </row>
    <row r="17" customFormat="false" ht="15" hidden="false" customHeight="false" outlineLevel="0" collapsed="false">
      <c r="A17" s="8" t="n">
        <v>13</v>
      </c>
      <c r="B17" s="8" t="s">
        <v>44</v>
      </c>
      <c r="C17" s="8" t="s">
        <v>31</v>
      </c>
      <c r="D17" s="8" t="n">
        <v>0.582</v>
      </c>
      <c r="E17" s="8" t="n">
        <v>27</v>
      </c>
      <c r="F17" s="8" t="n">
        <v>2.89</v>
      </c>
      <c r="G17" s="8" t="s">
        <v>31</v>
      </c>
      <c r="H17" s="8" t="n">
        <v>2</v>
      </c>
      <c r="I17" s="8" t="n">
        <v>4.54</v>
      </c>
      <c r="J17" s="8" t="n">
        <v>0.32</v>
      </c>
    </row>
    <row r="18" customFormat="false" ht="15" hidden="false" customHeight="false" outlineLevel="0" collapsed="false">
      <c r="A18" s="6" t="n">
        <v>14</v>
      </c>
      <c r="B18" s="6" t="s">
        <v>45</v>
      </c>
      <c r="C18" s="6"/>
      <c r="D18" s="6" t="n">
        <v>0.581</v>
      </c>
      <c r="E18" s="6" t="n">
        <v>27</v>
      </c>
      <c r="F18" s="6" t="n">
        <v>3.33</v>
      </c>
      <c r="G18" s="6" t="s">
        <v>31</v>
      </c>
      <c r="H18" s="6" t="n">
        <v>2</v>
      </c>
      <c r="I18" s="6" t="n">
        <v>3.57</v>
      </c>
      <c r="J18" s="6" t="n">
        <v>0.39</v>
      </c>
    </row>
    <row r="19" customFormat="false" ht="15" hidden="false" customHeight="false" outlineLevel="0" collapsed="false">
      <c r="A19" s="5" t="n">
        <v>15</v>
      </c>
      <c r="B19" s="5" t="s">
        <v>46</v>
      </c>
      <c r="C19" s="5"/>
      <c r="D19" s="5" t="n">
        <v>0.57</v>
      </c>
      <c r="E19" s="5" t="n">
        <v>26</v>
      </c>
      <c r="F19" s="5" t="n">
        <v>4.93</v>
      </c>
      <c r="G19" s="5" t="s">
        <v>39</v>
      </c>
      <c r="H19" s="5" t="n">
        <v>2</v>
      </c>
      <c r="I19" s="5" t="n">
        <v>3.86</v>
      </c>
      <c r="J19" s="5" t="n">
        <v>0.24</v>
      </c>
    </row>
    <row r="20" customFormat="false" ht="15" hidden="false" customHeight="false" outlineLevel="0" collapsed="false">
      <c r="A20" s="6" t="n">
        <v>16</v>
      </c>
      <c r="B20" s="6" t="s">
        <v>47</v>
      </c>
      <c r="C20" s="6"/>
      <c r="D20" s="6" t="n">
        <v>0.559</v>
      </c>
      <c r="E20" s="6" t="n">
        <v>24</v>
      </c>
      <c r="F20" s="6" t="n">
        <v>3.05</v>
      </c>
      <c r="G20" s="6" t="s">
        <v>31</v>
      </c>
      <c r="H20" s="6" t="n">
        <v>2</v>
      </c>
      <c r="I20" s="6" t="n">
        <v>5.74</v>
      </c>
      <c r="J20" s="6" t="n">
        <v>0.24</v>
      </c>
    </row>
    <row r="21" customFormat="false" ht="15" hidden="false" customHeight="false" outlineLevel="0" collapsed="false">
      <c r="A21" s="5" t="n">
        <v>17</v>
      </c>
      <c r="B21" s="5" t="s">
        <v>48</v>
      </c>
      <c r="C21" s="5"/>
      <c r="D21" s="5" t="n">
        <v>0.487</v>
      </c>
      <c r="E21" s="5" t="n">
        <v>16</v>
      </c>
      <c r="F21" s="5" t="n">
        <v>4.09</v>
      </c>
      <c r="G21" s="5" t="s">
        <v>39</v>
      </c>
      <c r="H21" s="5" t="n">
        <v>2</v>
      </c>
      <c r="I21" s="5" t="n">
        <v>3.87</v>
      </c>
      <c r="J21" s="5" t="n">
        <v>0.37</v>
      </c>
    </row>
    <row r="22" customFormat="false" ht="15" hidden="false" customHeight="false" outlineLevel="0" collapsed="false">
      <c r="A22" s="6" t="n">
        <v>18</v>
      </c>
      <c r="B22" s="6" t="s">
        <v>49</v>
      </c>
      <c r="C22" s="6"/>
      <c r="D22" s="6" t="n">
        <v>0.465</v>
      </c>
      <c r="E22" s="6" t="n">
        <v>16</v>
      </c>
      <c r="F22" s="6" t="n">
        <v>8.33</v>
      </c>
      <c r="G22" s="6" t="s">
        <v>39</v>
      </c>
      <c r="H22" s="6" t="n">
        <v>1</v>
      </c>
      <c r="I22" s="6" t="n">
        <v>3.64</v>
      </c>
      <c r="J22" s="6" t="n">
        <v>0.2</v>
      </c>
    </row>
    <row r="23" customFormat="false" ht="15" hidden="false" customHeight="false" outlineLevel="0" collapsed="false">
      <c r="A23" s="5" t="n">
        <v>19</v>
      </c>
      <c r="B23" s="5" t="s">
        <v>50</v>
      </c>
      <c r="C23" s="5"/>
      <c r="D23" s="5" t="n">
        <v>0.399</v>
      </c>
      <c r="E23" s="5" t="n">
        <v>14</v>
      </c>
      <c r="F23" s="5" t="n">
        <v>8.03</v>
      </c>
      <c r="G23" s="5" t="s">
        <v>39</v>
      </c>
      <c r="H23" s="5" t="n">
        <v>2</v>
      </c>
      <c r="I23" s="5" t="n">
        <v>4.85</v>
      </c>
      <c r="J23" s="5" t="n">
        <v>0.28</v>
      </c>
    </row>
    <row r="24" customFormat="false" ht="15" hidden="false" customHeight="false" outlineLevel="0" collapsed="false">
      <c r="A24" s="6" t="n">
        <v>20</v>
      </c>
      <c r="B24" s="6" t="s">
        <v>51</v>
      </c>
      <c r="C24" s="6"/>
      <c r="D24" s="6" t="n">
        <v>0.38</v>
      </c>
      <c r="E24" s="6" t="n">
        <v>12</v>
      </c>
      <c r="F24" s="6" t="n">
        <v>3.04</v>
      </c>
      <c r="G24" s="6" t="s">
        <v>31</v>
      </c>
      <c r="H24" s="6" t="n">
        <v>2</v>
      </c>
      <c r="I24" s="6" t="n">
        <v>3.91</v>
      </c>
      <c r="J24" s="6" t="n">
        <v>0.28</v>
      </c>
    </row>
    <row r="25" customFormat="false" ht="15" hidden="false" customHeight="false" outlineLevel="0" collapsed="false">
      <c r="A25" s="5" t="n">
        <v>21</v>
      </c>
      <c r="B25" s="5" t="s">
        <v>52</v>
      </c>
      <c r="C25" s="5"/>
      <c r="D25" s="5" t="n">
        <v>0.376</v>
      </c>
      <c r="E25" s="5" t="n">
        <v>12</v>
      </c>
      <c r="F25" s="5" t="n">
        <v>3.31</v>
      </c>
      <c r="G25" s="5" t="s">
        <v>31</v>
      </c>
      <c r="H25" s="5" t="n">
        <v>2</v>
      </c>
      <c r="I25" s="5" t="n">
        <v>7.61</v>
      </c>
      <c r="J25" s="5" t="n">
        <v>0.56</v>
      </c>
    </row>
    <row r="26" customFormat="false" ht="15" hidden="false" customHeight="false" outlineLevel="0" collapsed="false">
      <c r="A26" s="6" t="n">
        <v>22</v>
      </c>
      <c r="B26" s="6" t="s">
        <v>53</v>
      </c>
      <c r="C26" s="6"/>
      <c r="D26" s="6" t="n">
        <v>0.359</v>
      </c>
      <c r="E26" s="6" t="n">
        <v>12</v>
      </c>
      <c r="F26" s="6" t="n">
        <v>6.05</v>
      </c>
      <c r="G26" s="6" t="s">
        <v>39</v>
      </c>
      <c r="H26" s="6" t="n">
        <v>2</v>
      </c>
      <c r="I26" s="6" t="n">
        <v>4.83</v>
      </c>
      <c r="J26" s="6" t="n">
        <v>0.43</v>
      </c>
    </row>
    <row r="27" customFormat="false" ht="15" hidden="false" customHeight="false" outlineLevel="0" collapsed="false">
      <c r="A27" s="5" t="n">
        <v>23</v>
      </c>
      <c r="B27" s="5" t="s">
        <v>54</v>
      </c>
      <c r="C27" s="5"/>
      <c r="D27" s="5" t="n">
        <v>0.306</v>
      </c>
      <c r="E27" s="5" t="n">
        <v>10</v>
      </c>
      <c r="F27" s="5" t="n">
        <v>4.29</v>
      </c>
      <c r="G27" s="5" t="s">
        <v>39</v>
      </c>
      <c r="H27" s="5" t="n">
        <v>2</v>
      </c>
      <c r="I27" s="5" t="n">
        <v>4.11</v>
      </c>
      <c r="J27" s="5" t="n">
        <v>0.24</v>
      </c>
    </row>
    <row r="28" customFormat="false" ht="15" hidden="false" customHeight="false" outlineLevel="0" collapsed="false">
      <c r="A28" s="6" t="n">
        <v>24</v>
      </c>
      <c r="B28" s="6" t="s">
        <v>55</v>
      </c>
      <c r="C28" s="6"/>
      <c r="D28" s="6" t="n">
        <v>0.248</v>
      </c>
      <c r="E28" s="6" t="n">
        <v>6</v>
      </c>
      <c r="F28" s="6" t="n">
        <v>5.16</v>
      </c>
      <c r="G28" s="6" t="s">
        <v>39</v>
      </c>
      <c r="H28" s="6" t="n">
        <v>2</v>
      </c>
      <c r="I28" s="6" t="n">
        <v>3.74</v>
      </c>
      <c r="J28" s="6" t="n">
        <v>0.25</v>
      </c>
    </row>
    <row r="29" customFormat="false" ht="15" hidden="false" customHeight="false" outlineLevel="0" collapsed="false">
      <c r="A29" s="5" t="n">
        <v>25</v>
      </c>
      <c r="B29" s="5" t="s">
        <v>56</v>
      </c>
      <c r="C29" s="5"/>
      <c r="D29" s="5" t="n">
        <v>0.216</v>
      </c>
      <c r="E29" s="5" t="n">
        <v>5</v>
      </c>
      <c r="F29" s="5" t="n">
        <v>5.1</v>
      </c>
      <c r="G29" s="5" t="s">
        <v>39</v>
      </c>
      <c r="H29" s="5" t="n">
        <v>2</v>
      </c>
      <c r="I29" s="5" t="n">
        <v>4.35</v>
      </c>
      <c r="J29" s="5" t="n">
        <v>0.33</v>
      </c>
    </row>
    <row r="30" customFormat="false" ht="15" hidden="false" customHeight="false" outlineLevel="0" collapsed="false">
      <c r="A30" s="6" t="n">
        <v>26</v>
      </c>
      <c r="B30" s="6" t="s">
        <v>57</v>
      </c>
      <c r="C30" s="6"/>
      <c r="D30" s="6" t="n">
        <v>0.187</v>
      </c>
      <c r="E30" s="6" t="n">
        <v>4</v>
      </c>
      <c r="F30" s="6" t="n">
        <v>3.15</v>
      </c>
      <c r="G30" s="6" t="s">
        <v>31</v>
      </c>
      <c r="H30" s="6" t="n">
        <v>2</v>
      </c>
      <c r="I30" s="6" t="n">
        <v>3.82</v>
      </c>
      <c r="J30" s="6" t="n">
        <v>0.26</v>
      </c>
    </row>
    <row r="31" customFormat="false" ht="15" hidden="false" customHeight="false" outlineLevel="0" collapsed="false">
      <c r="A31" s="5" t="n">
        <v>27</v>
      </c>
      <c r="B31" s="5" t="s">
        <v>58</v>
      </c>
      <c r="C31" s="5"/>
      <c r="D31" s="5" t="n">
        <v>0.161</v>
      </c>
      <c r="E31" s="5" t="n">
        <v>3</v>
      </c>
      <c r="F31" s="5" t="n">
        <v>4.39</v>
      </c>
      <c r="G31" s="5" t="s">
        <v>39</v>
      </c>
      <c r="H31" s="5" t="n">
        <v>2</v>
      </c>
      <c r="I31" s="5" t="n">
        <v>4.31</v>
      </c>
      <c r="J31" s="5" t="n">
        <v>0.26</v>
      </c>
    </row>
    <row r="32" customFormat="false" ht="15" hidden="false" customHeight="false" outlineLevel="0" collapsed="false">
      <c r="A32" s="6" t="n">
        <v>28</v>
      </c>
      <c r="B32" s="6" t="s">
        <v>59</v>
      </c>
      <c r="C32" s="6"/>
      <c r="D32" s="6" t="n">
        <v>0.159</v>
      </c>
      <c r="E32" s="6" t="n">
        <v>3</v>
      </c>
      <c r="F32" s="6" t="n">
        <v>3.07</v>
      </c>
      <c r="G32" s="6" t="s">
        <v>31</v>
      </c>
      <c r="H32" s="6" t="n">
        <v>2</v>
      </c>
      <c r="I32" s="6" t="n">
        <v>4.53</v>
      </c>
      <c r="J32" s="6" t="n">
        <v>0.14</v>
      </c>
    </row>
    <row r="33" customFormat="false" ht="15" hidden="false" customHeight="false" outlineLevel="0" collapsed="false">
      <c r="A33" s="5" t="n">
        <v>29</v>
      </c>
      <c r="B33" s="5" t="s">
        <v>60</v>
      </c>
      <c r="C33" s="5"/>
      <c r="D33" s="5" t="n">
        <v>0.157</v>
      </c>
      <c r="E33" s="5" t="n">
        <v>3</v>
      </c>
      <c r="F33" s="5" t="n">
        <v>5</v>
      </c>
      <c r="G33" s="5" t="s">
        <v>39</v>
      </c>
      <c r="H33" s="5" t="n">
        <v>2</v>
      </c>
      <c r="I33" s="5" t="n">
        <v>5.07</v>
      </c>
      <c r="J33" s="5" t="n">
        <v>0.12</v>
      </c>
    </row>
    <row r="34" customFormat="false" ht="15" hidden="false" customHeight="false" outlineLevel="0" collapsed="false">
      <c r="A34" s="6" t="n">
        <v>30</v>
      </c>
      <c r="B34" s="6" t="s">
        <v>61</v>
      </c>
      <c r="C34" s="6"/>
      <c r="D34" s="6" t="n">
        <v>0.15</v>
      </c>
      <c r="E34" s="6" t="n">
        <v>3</v>
      </c>
      <c r="F34" s="6" t="n">
        <v>7.28</v>
      </c>
      <c r="G34" s="6" t="s">
        <v>39</v>
      </c>
      <c r="H34" s="6" t="n">
        <v>2</v>
      </c>
      <c r="I34" s="6" t="n">
        <v>3.89</v>
      </c>
      <c r="J34" s="6" t="n">
        <v>0.17</v>
      </c>
    </row>
    <row r="35" customFormat="false" ht="15" hidden="false" customHeight="false" outlineLevel="0" collapsed="false">
      <c r="A35" s="5" t="n">
        <v>31</v>
      </c>
      <c r="B35" s="5" t="s">
        <v>62</v>
      </c>
      <c r="C35" s="5"/>
      <c r="D35" s="5" t="n">
        <v>0.141</v>
      </c>
      <c r="E35" s="5" t="n">
        <v>3</v>
      </c>
      <c r="F35" s="5" t="n">
        <v>9.31</v>
      </c>
      <c r="G35" s="5" t="s">
        <v>39</v>
      </c>
      <c r="H35" s="5" t="n">
        <v>2</v>
      </c>
      <c r="I35" s="5" t="n">
        <v>4.02</v>
      </c>
      <c r="J35" s="5" t="n">
        <v>0.35</v>
      </c>
    </row>
    <row r="36" customFormat="false" ht="15" hidden="false" customHeight="false" outlineLevel="0" collapsed="false">
      <c r="A36" s="6" t="n">
        <v>32</v>
      </c>
      <c r="B36" s="6" t="s">
        <v>63</v>
      </c>
      <c r="C36" s="6"/>
      <c r="D36" s="6" t="n">
        <v>0.139</v>
      </c>
      <c r="E36" s="6" t="n">
        <v>3</v>
      </c>
      <c r="F36" s="6" t="n">
        <v>7.15</v>
      </c>
      <c r="G36" s="6" t="s">
        <v>39</v>
      </c>
      <c r="H36" s="6" t="n">
        <v>2</v>
      </c>
      <c r="I36" s="6" t="n">
        <v>4.29</v>
      </c>
      <c r="J36" s="6" t="n">
        <v>0.18</v>
      </c>
    </row>
    <row r="37" customFormat="false" ht="15" hidden="false" customHeight="false" outlineLevel="0" collapsed="false">
      <c r="A37" s="5" t="n">
        <v>33</v>
      </c>
      <c r="B37" s="5" t="s">
        <v>64</v>
      </c>
      <c r="C37" s="5"/>
      <c r="D37" s="5" t="n">
        <v>0.127</v>
      </c>
      <c r="E37" s="5" t="n">
        <v>3</v>
      </c>
      <c r="F37" s="5" t="n">
        <v>9.13</v>
      </c>
      <c r="G37" s="5" t="s">
        <v>39</v>
      </c>
      <c r="H37" s="5" t="n">
        <v>2</v>
      </c>
      <c r="I37" s="5" t="n">
        <v>4.92</v>
      </c>
      <c r="J37" s="5" t="n">
        <v>0.24</v>
      </c>
    </row>
    <row r="38" customFormat="false" ht="15" hidden="false" customHeight="false" outlineLevel="0" collapsed="false">
      <c r="A38" s="6" t="n">
        <v>34</v>
      </c>
      <c r="B38" s="6" t="s">
        <v>65</v>
      </c>
      <c r="C38" s="6"/>
      <c r="D38" s="6" t="n">
        <v>0.096</v>
      </c>
      <c r="E38" s="6" t="n">
        <v>1</v>
      </c>
      <c r="F38" s="6" t="n">
        <v>8.74</v>
      </c>
      <c r="G38" s="6" t="s">
        <v>39</v>
      </c>
      <c r="H38" s="6" t="n">
        <v>2</v>
      </c>
      <c r="I38" s="6" t="n">
        <v>4.08</v>
      </c>
      <c r="J38" s="6" t="n">
        <v>0.04</v>
      </c>
    </row>
    <row r="39" customFormat="false" ht="15" hidden="false" customHeight="false" outlineLevel="0" collapsed="false">
      <c r="A39" s="5" t="n">
        <v>35</v>
      </c>
      <c r="B39" s="5" t="s">
        <v>66</v>
      </c>
      <c r="C39" s="5"/>
      <c r="D39" s="5" t="n">
        <v>0.054</v>
      </c>
      <c r="E39" s="5" t="n">
        <v>1</v>
      </c>
      <c r="F39" s="5" t="n">
        <v>4.4</v>
      </c>
      <c r="G39" s="5" t="s">
        <v>39</v>
      </c>
      <c r="H39" s="5" t="n">
        <v>2</v>
      </c>
      <c r="I39" s="5" t="n">
        <v>4.04</v>
      </c>
      <c r="J39" s="5" t="n">
        <v>0.32</v>
      </c>
    </row>
    <row r="40" customFormat="false" ht="15" hidden="false" customHeight="false" outlineLevel="0" collapsed="false">
      <c r="A40" s="6" t="n">
        <v>36</v>
      </c>
      <c r="B40" s="6" t="s">
        <v>67</v>
      </c>
      <c r="C40" s="6"/>
      <c r="D40" s="6" t="n">
        <v>0.051</v>
      </c>
      <c r="E40" s="6" t="n">
        <v>1</v>
      </c>
      <c r="F40" s="6" t="n">
        <v>3.78</v>
      </c>
      <c r="G40" s="6" t="s">
        <v>39</v>
      </c>
      <c r="H40" s="6" t="n">
        <v>2</v>
      </c>
      <c r="I40" s="6" t="n">
        <v>4.57</v>
      </c>
      <c r="J40" s="6" t="n">
        <v>0.24</v>
      </c>
    </row>
    <row r="41" customFormat="false" ht="15" hidden="false" customHeight="false" outlineLevel="0" collapsed="false">
      <c r="A41" s="5" t="n">
        <v>37</v>
      </c>
      <c r="B41" s="5" t="s">
        <v>68</v>
      </c>
      <c r="C41" s="5"/>
      <c r="D41" s="5" t="n">
        <v>0.05</v>
      </c>
      <c r="E41" s="5" t="n">
        <v>1</v>
      </c>
      <c r="F41" s="5" t="n">
        <v>9.44</v>
      </c>
      <c r="G41" s="5" t="s">
        <v>39</v>
      </c>
      <c r="H41" s="5" t="n">
        <v>2</v>
      </c>
      <c r="I41" s="5" t="n">
        <v>3.95</v>
      </c>
      <c r="J41" s="5" t="n">
        <v>0.18</v>
      </c>
    </row>
    <row r="42" customFormat="false" ht="15" hidden="false" customHeight="false" outlineLevel="0" collapsed="false">
      <c r="A42" s="6" t="n">
        <v>38</v>
      </c>
      <c r="B42" s="6" t="s">
        <v>69</v>
      </c>
      <c r="C42" s="6"/>
      <c r="D42" s="6" t="n">
        <v>0.046</v>
      </c>
      <c r="E42" s="6" t="n">
        <v>1</v>
      </c>
      <c r="F42" s="6" t="n">
        <v>6.83</v>
      </c>
      <c r="G42" s="6" t="s">
        <v>39</v>
      </c>
      <c r="H42" s="6" t="n">
        <v>2</v>
      </c>
      <c r="I42" s="6" t="n">
        <v>3.96</v>
      </c>
      <c r="J42" s="6" t="n">
        <v>0.19</v>
      </c>
    </row>
    <row r="43" customFormat="false" ht="15" hidden="false" customHeight="false" outlineLevel="0" collapsed="false">
      <c r="A43" s="5" t="n">
        <v>39</v>
      </c>
      <c r="B43" s="5" t="s">
        <v>70</v>
      </c>
      <c r="C43" s="5"/>
      <c r="D43" s="5" t="n">
        <v>0.037</v>
      </c>
      <c r="E43" s="5" t="n">
        <v>1</v>
      </c>
      <c r="F43" s="5" t="n">
        <v>12.11</v>
      </c>
      <c r="G43" s="5" t="s">
        <v>39</v>
      </c>
      <c r="H43" s="5" t="n">
        <v>2</v>
      </c>
      <c r="I43" s="5" t="n">
        <v>3.94</v>
      </c>
      <c r="J43" s="5" t="n">
        <v>0.29</v>
      </c>
    </row>
    <row r="44" customFormat="false" ht="15" hidden="false" customHeight="false" outlineLevel="0" collapsed="false">
      <c r="A44" s="6" t="n">
        <v>40</v>
      </c>
      <c r="B44" s="6" t="s">
        <v>71</v>
      </c>
      <c r="C44" s="6"/>
      <c r="D44" s="6" t="n">
        <v>0.032</v>
      </c>
      <c r="E44" s="6" t="n">
        <v>0</v>
      </c>
      <c r="F44" s="6" t="n">
        <v>9.13</v>
      </c>
      <c r="G44" s="6" t="s">
        <v>39</v>
      </c>
      <c r="H44" s="6" t="n">
        <v>2</v>
      </c>
      <c r="I44" s="6" t="n">
        <v>4.58</v>
      </c>
      <c r="J44" s="6" t="n">
        <v>0.13</v>
      </c>
    </row>
    <row r="45" customFormat="false" ht="15" hidden="false" customHeight="false" outlineLevel="0" collapsed="false">
      <c r="A45" s="5" t="n">
        <v>41</v>
      </c>
      <c r="B45" s="5" t="s">
        <v>72</v>
      </c>
      <c r="C45" s="5"/>
      <c r="D45" s="5" t="n">
        <v>0.02</v>
      </c>
      <c r="E45" s="5" t="n">
        <v>0</v>
      </c>
      <c r="F45" s="5" t="n">
        <v>12.28</v>
      </c>
      <c r="G45" s="5" t="s">
        <v>39</v>
      </c>
      <c r="H45" s="5" t="n">
        <v>2</v>
      </c>
      <c r="I45" s="5" t="n">
        <v>3.67</v>
      </c>
      <c r="J45" s="5" t="n">
        <v>0.29</v>
      </c>
    </row>
    <row r="47" customFormat="false" ht="304.45" hidden="false" customHeight="false" outlineLevel="0" collapsed="false">
      <c r="A47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2"/>
  </cols>
  <sheetData>
    <row r="1" customFormat="false" ht="19.7" hidden="false" customHeight="false" outlineLevel="0" collapsed="false">
      <c r="A1" s="1" t="s">
        <v>74</v>
      </c>
    </row>
    <row r="2" customFormat="false" ht="132.8" hidden="false" customHeight="false" outlineLevel="0" collapsed="false">
      <c r="A2" s="2" t="s">
        <v>75</v>
      </c>
    </row>
    <row r="4" customFormat="false" ht="31.5" hidden="false" customHeight="true" outlineLevel="0" collapsed="false">
      <c r="A4" s="4" t="s">
        <v>76</v>
      </c>
      <c r="B4" s="4" t="s">
        <v>77</v>
      </c>
      <c r="C4" s="4" t="s">
        <v>24</v>
      </c>
      <c r="D4" s="4" t="s">
        <v>78</v>
      </c>
      <c r="E4" s="4" t="s">
        <v>79</v>
      </c>
    </row>
    <row r="5" customFormat="false" ht="15" hidden="false" customHeight="false" outlineLevel="0" collapsed="false">
      <c r="A5" s="5" t="s">
        <v>30</v>
      </c>
      <c r="B5" s="5" t="n">
        <v>1</v>
      </c>
      <c r="C5" s="5" t="n">
        <v>92</v>
      </c>
      <c r="D5" s="9" t="s">
        <v>31</v>
      </c>
      <c r="E5" s="5"/>
    </row>
    <row r="6" customFormat="false" ht="15" hidden="false" customHeight="false" outlineLevel="0" collapsed="false">
      <c r="A6" s="6" t="s">
        <v>32</v>
      </c>
      <c r="B6" s="6" t="n">
        <v>2</v>
      </c>
      <c r="C6" s="6" t="n">
        <v>90</v>
      </c>
      <c r="D6" s="9" t="s">
        <v>31</v>
      </c>
      <c r="E6" s="6"/>
    </row>
    <row r="7" customFormat="false" ht="15" hidden="false" customHeight="false" outlineLevel="0" collapsed="false">
      <c r="A7" s="5" t="s">
        <v>33</v>
      </c>
      <c r="B7" s="5" t="n">
        <v>3</v>
      </c>
      <c r="C7" s="5" t="n">
        <v>88</v>
      </c>
      <c r="D7" s="9" t="s">
        <v>31</v>
      </c>
      <c r="E7" s="5"/>
    </row>
    <row r="8" customFormat="false" ht="15" hidden="false" customHeight="false" outlineLevel="0" collapsed="false">
      <c r="A8" s="6" t="s">
        <v>34</v>
      </c>
      <c r="B8" s="6" t="n">
        <v>4</v>
      </c>
      <c r="C8" s="6" t="n">
        <v>87</v>
      </c>
      <c r="D8" s="9" t="s">
        <v>31</v>
      </c>
      <c r="E8" s="6"/>
    </row>
    <row r="9" customFormat="false" ht="35.05" hidden="false" customHeight="false" outlineLevel="0" collapsed="false">
      <c r="A9" s="5" t="s">
        <v>40</v>
      </c>
      <c r="B9" s="5" t="n">
        <v>9</v>
      </c>
      <c r="C9" s="5" t="n">
        <v>40</v>
      </c>
      <c r="D9" s="9" t="s">
        <v>31</v>
      </c>
      <c r="E9" s="5" t="s">
        <v>80</v>
      </c>
    </row>
    <row r="10" customFormat="false" ht="35.05" hidden="false" customHeight="false" outlineLevel="0" collapsed="false">
      <c r="A10" s="6" t="s">
        <v>41</v>
      </c>
      <c r="B10" s="6" t="n">
        <v>10</v>
      </c>
      <c r="C10" s="6" t="n">
        <v>40</v>
      </c>
      <c r="D10" s="10" t="s">
        <v>81</v>
      </c>
      <c r="E10" s="6" t="s">
        <v>82</v>
      </c>
    </row>
    <row r="12" customFormat="false" ht="95.5" hidden="false" customHeight="false" outlineLevel="0" collapsed="false">
      <c r="A12" s="7" t="s">
        <v>83</v>
      </c>
    </row>
    <row r="13" customFormat="false" ht="147.75" hidden="false" customHeight="false" outlineLevel="0" collapsed="false">
      <c r="A13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85</v>
      </c>
    </row>
    <row r="2" customFormat="false" ht="741" hidden="false" customHeight="false" outlineLevel="0" collapsed="false">
      <c r="A2" s="2" t="s">
        <v>86</v>
      </c>
    </row>
    <row r="4" customFormat="false" ht="31.5" hidden="false" customHeight="true" outlineLevel="0" collapsed="false">
      <c r="A4" s="4" t="s">
        <v>20</v>
      </c>
      <c r="B4" s="4" t="s">
        <v>21</v>
      </c>
      <c r="C4" s="4" t="s">
        <v>22</v>
      </c>
      <c r="D4" s="4" t="s">
        <v>87</v>
      </c>
      <c r="E4" s="4" t="s">
        <v>88</v>
      </c>
      <c r="F4" s="4" t="s">
        <v>89</v>
      </c>
      <c r="G4" s="4" t="s">
        <v>90</v>
      </c>
      <c r="H4" s="4" t="s">
        <v>91</v>
      </c>
    </row>
    <row r="5" customFormat="false" ht="15" hidden="false" customHeight="false" outlineLevel="0" collapsed="false">
      <c r="A5" s="8" t="n">
        <v>1</v>
      </c>
      <c r="B5" s="8" t="s">
        <v>30</v>
      </c>
      <c r="C5" s="8" t="s">
        <v>31</v>
      </c>
      <c r="D5" s="8" t="n">
        <v>3.49</v>
      </c>
      <c r="E5" s="8" t="s">
        <v>31</v>
      </c>
      <c r="F5" s="8" t="n">
        <v>3.68</v>
      </c>
      <c r="G5" s="8" t="s">
        <v>39</v>
      </c>
      <c r="H5" s="11" t="s">
        <v>92</v>
      </c>
    </row>
    <row r="6" customFormat="false" ht="15" hidden="false" customHeight="false" outlineLevel="0" collapsed="false">
      <c r="A6" s="8" t="n">
        <v>2</v>
      </c>
      <c r="B6" s="8" t="s">
        <v>32</v>
      </c>
      <c r="C6" s="8" t="s">
        <v>31</v>
      </c>
      <c r="D6" s="8" t="n">
        <v>2.9</v>
      </c>
      <c r="E6" s="8" t="s">
        <v>31</v>
      </c>
      <c r="F6" s="8" t="n">
        <v>2.83</v>
      </c>
      <c r="G6" s="8" t="s">
        <v>31</v>
      </c>
      <c r="H6" s="9" t="s">
        <v>93</v>
      </c>
    </row>
    <row r="7" customFormat="false" ht="15" hidden="false" customHeight="false" outlineLevel="0" collapsed="false">
      <c r="A7" s="8" t="n">
        <v>3</v>
      </c>
      <c r="B7" s="8" t="s">
        <v>33</v>
      </c>
      <c r="C7" s="8" t="s">
        <v>31</v>
      </c>
      <c r="D7" s="8" t="n">
        <v>2.8</v>
      </c>
      <c r="E7" s="8" t="s">
        <v>31</v>
      </c>
      <c r="F7" s="8" t="n">
        <v>2.88</v>
      </c>
      <c r="G7" s="8" t="s">
        <v>31</v>
      </c>
      <c r="H7" s="9" t="s">
        <v>93</v>
      </c>
    </row>
    <row r="8" customFormat="false" ht="15" hidden="false" customHeight="false" outlineLevel="0" collapsed="false">
      <c r="A8" s="8" t="n">
        <v>4</v>
      </c>
      <c r="B8" s="8" t="s">
        <v>34</v>
      </c>
      <c r="C8" s="8" t="s">
        <v>31</v>
      </c>
      <c r="D8" s="8" t="n">
        <v>2.88</v>
      </c>
      <c r="E8" s="8" t="s">
        <v>31</v>
      </c>
      <c r="F8" s="8" t="n">
        <v>2.85</v>
      </c>
      <c r="G8" s="8" t="s">
        <v>31</v>
      </c>
      <c r="H8" s="9" t="s">
        <v>93</v>
      </c>
    </row>
    <row r="9" customFormat="false" ht="15" hidden="false" customHeight="false" outlineLevel="0" collapsed="false">
      <c r="A9" s="5" t="n">
        <v>5</v>
      </c>
      <c r="B9" s="5" t="s">
        <v>35</v>
      </c>
      <c r="C9" s="5"/>
      <c r="D9" s="5" t="n">
        <v>3.24</v>
      </c>
      <c r="E9" s="5" t="s">
        <v>31</v>
      </c>
      <c r="F9" s="5" t="n">
        <v>4.47</v>
      </c>
      <c r="G9" s="5" t="s">
        <v>39</v>
      </c>
      <c r="H9" s="11" t="s">
        <v>92</v>
      </c>
    </row>
    <row r="10" customFormat="false" ht="15" hidden="false" customHeight="false" outlineLevel="0" collapsed="false">
      <c r="A10" s="6" t="n">
        <v>6</v>
      </c>
      <c r="B10" s="6" t="s">
        <v>36</v>
      </c>
      <c r="C10" s="6"/>
      <c r="D10" s="6" t="n">
        <v>3.13</v>
      </c>
      <c r="E10" s="6" t="s">
        <v>31</v>
      </c>
      <c r="F10" s="6" t="n">
        <v>3.03</v>
      </c>
      <c r="G10" s="6" t="s">
        <v>31</v>
      </c>
      <c r="H10" s="9" t="s">
        <v>93</v>
      </c>
    </row>
    <row r="11" customFormat="false" ht="15" hidden="false" customHeight="false" outlineLevel="0" collapsed="false">
      <c r="A11" s="5" t="n">
        <v>7</v>
      </c>
      <c r="B11" s="5" t="s">
        <v>37</v>
      </c>
      <c r="C11" s="5"/>
      <c r="D11" s="5" t="n">
        <v>2.98</v>
      </c>
      <c r="E11" s="5" t="s">
        <v>31</v>
      </c>
      <c r="F11" s="5" t="n">
        <v>3.09</v>
      </c>
      <c r="G11" s="5" t="s">
        <v>31</v>
      </c>
      <c r="H11" s="9" t="s">
        <v>93</v>
      </c>
    </row>
    <row r="12" customFormat="false" ht="15" hidden="false" customHeight="false" outlineLevel="0" collapsed="false">
      <c r="A12" s="6" t="n">
        <v>8</v>
      </c>
      <c r="B12" s="6" t="s">
        <v>38</v>
      </c>
      <c r="C12" s="6"/>
      <c r="D12" s="6" t="n">
        <v>7.96</v>
      </c>
      <c r="E12" s="6" t="s">
        <v>39</v>
      </c>
      <c r="F12" s="6" t="n">
        <v>3.28</v>
      </c>
      <c r="G12" s="6" t="s">
        <v>31</v>
      </c>
      <c r="H12" s="11" t="s">
        <v>92</v>
      </c>
    </row>
    <row r="13" customFormat="false" ht="15" hidden="false" customHeight="false" outlineLevel="0" collapsed="false">
      <c r="A13" s="8" t="n">
        <v>9</v>
      </c>
      <c r="B13" s="8" t="s">
        <v>40</v>
      </c>
      <c r="C13" s="8" t="s">
        <v>31</v>
      </c>
      <c r="D13" s="8" t="n">
        <v>3.05</v>
      </c>
      <c r="E13" s="8" t="s">
        <v>31</v>
      </c>
      <c r="F13" s="8" t="n">
        <v>2.97</v>
      </c>
      <c r="G13" s="8" t="s">
        <v>31</v>
      </c>
      <c r="H13" s="9" t="s">
        <v>93</v>
      </c>
    </row>
    <row r="14" customFormat="false" ht="15" hidden="false" customHeight="false" outlineLevel="0" collapsed="false">
      <c r="A14" s="8" t="n">
        <v>10</v>
      </c>
      <c r="B14" s="8" t="s">
        <v>41</v>
      </c>
      <c r="C14" s="8" t="s">
        <v>31</v>
      </c>
      <c r="D14" s="8" t="n">
        <v>3.1</v>
      </c>
      <c r="E14" s="8" t="s">
        <v>31</v>
      </c>
      <c r="F14" s="8" t="n">
        <v>3.17</v>
      </c>
      <c r="G14" s="8" t="s">
        <v>31</v>
      </c>
      <c r="H14" s="9" t="s">
        <v>93</v>
      </c>
    </row>
    <row r="15" customFormat="false" ht="15" hidden="false" customHeight="false" outlineLevel="0" collapsed="false">
      <c r="A15" s="5" t="n">
        <v>11</v>
      </c>
      <c r="B15" s="5" t="s">
        <v>42</v>
      </c>
      <c r="C15" s="5"/>
      <c r="D15" s="5" t="n">
        <v>3.2</v>
      </c>
      <c r="E15" s="5" t="s">
        <v>31</v>
      </c>
      <c r="F15" s="5" t="n">
        <v>3.26</v>
      </c>
      <c r="G15" s="5" t="s">
        <v>31</v>
      </c>
      <c r="H15" s="9" t="s">
        <v>93</v>
      </c>
    </row>
    <row r="16" customFormat="false" ht="15" hidden="false" customHeight="false" outlineLevel="0" collapsed="false">
      <c r="A16" s="6" t="n">
        <v>12</v>
      </c>
      <c r="B16" s="6" t="s">
        <v>43</v>
      </c>
      <c r="C16" s="6"/>
      <c r="D16" s="6" t="n">
        <v>3.31</v>
      </c>
      <c r="E16" s="6" t="s">
        <v>31</v>
      </c>
      <c r="F16" s="6" t="n">
        <v>9.64</v>
      </c>
      <c r="G16" s="6" t="s">
        <v>39</v>
      </c>
      <c r="H16" s="11" t="s">
        <v>92</v>
      </c>
    </row>
    <row r="17" customFormat="false" ht="15" hidden="false" customHeight="false" outlineLevel="0" collapsed="false">
      <c r="A17" s="8" t="n">
        <v>13</v>
      </c>
      <c r="B17" s="8" t="s">
        <v>44</v>
      </c>
      <c r="C17" s="8" t="s">
        <v>31</v>
      </c>
      <c r="D17" s="8" t="n">
        <v>2.89</v>
      </c>
      <c r="E17" s="8" t="s">
        <v>31</v>
      </c>
      <c r="F17" s="8" t="n">
        <v>2.87</v>
      </c>
      <c r="G17" s="8" t="s">
        <v>31</v>
      </c>
      <c r="H17" s="9" t="s">
        <v>93</v>
      </c>
    </row>
    <row r="18" customFormat="false" ht="15" hidden="false" customHeight="false" outlineLevel="0" collapsed="false">
      <c r="A18" s="6" t="n">
        <v>14</v>
      </c>
      <c r="B18" s="6" t="s">
        <v>45</v>
      </c>
      <c r="C18" s="6"/>
      <c r="D18" s="6" t="n">
        <v>3.33</v>
      </c>
      <c r="E18" s="6" t="s">
        <v>31</v>
      </c>
      <c r="F18" s="6" t="n">
        <v>3.13</v>
      </c>
      <c r="G18" s="6" t="s">
        <v>31</v>
      </c>
      <c r="H18" s="9" t="s">
        <v>93</v>
      </c>
    </row>
    <row r="19" customFormat="false" ht="15" hidden="false" customHeight="false" outlineLevel="0" collapsed="false">
      <c r="A19" s="5" t="n">
        <v>15</v>
      </c>
      <c r="B19" s="5" t="s">
        <v>46</v>
      </c>
      <c r="C19" s="5"/>
      <c r="D19" s="5" t="n">
        <v>4.93</v>
      </c>
      <c r="E19" s="5" t="s">
        <v>39</v>
      </c>
      <c r="F19" s="5" t="n">
        <v>5.29</v>
      </c>
      <c r="G19" s="5" t="s">
        <v>39</v>
      </c>
      <c r="H19" s="5" t="s">
        <v>94</v>
      </c>
    </row>
    <row r="20" customFormat="false" ht="15" hidden="false" customHeight="false" outlineLevel="0" collapsed="false">
      <c r="A20" s="6" t="n">
        <v>16</v>
      </c>
      <c r="B20" s="6" t="s">
        <v>47</v>
      </c>
      <c r="C20" s="6"/>
      <c r="D20" s="6" t="n">
        <v>3.05</v>
      </c>
      <c r="E20" s="6" t="s">
        <v>31</v>
      </c>
      <c r="F20" s="6" t="n">
        <v>7.71</v>
      </c>
      <c r="G20" s="6" t="s">
        <v>39</v>
      </c>
      <c r="H20" s="11" t="s">
        <v>92</v>
      </c>
    </row>
    <row r="21" customFormat="false" ht="15" hidden="false" customHeight="false" outlineLevel="0" collapsed="false">
      <c r="A21" s="5" t="n">
        <v>17</v>
      </c>
      <c r="B21" s="5" t="s">
        <v>48</v>
      </c>
      <c r="C21" s="5"/>
      <c r="D21" s="5" t="n">
        <v>4.09</v>
      </c>
      <c r="E21" s="5" t="s">
        <v>39</v>
      </c>
      <c r="F21" s="5" t="n">
        <v>4.05</v>
      </c>
      <c r="G21" s="5" t="s">
        <v>39</v>
      </c>
      <c r="H21" s="5" t="s">
        <v>94</v>
      </c>
    </row>
    <row r="22" customFormat="false" ht="15" hidden="false" customHeight="false" outlineLevel="0" collapsed="false">
      <c r="A22" s="6" t="n">
        <v>18</v>
      </c>
      <c r="B22" s="6" t="s">
        <v>49</v>
      </c>
      <c r="C22" s="6"/>
      <c r="D22" s="6" t="n">
        <v>8.33</v>
      </c>
      <c r="E22" s="6" t="s">
        <v>39</v>
      </c>
      <c r="F22" s="6" t="n">
        <v>7.75</v>
      </c>
      <c r="G22" s="6" t="s">
        <v>39</v>
      </c>
      <c r="H22" s="6" t="s">
        <v>94</v>
      </c>
    </row>
    <row r="23" customFormat="false" ht="15" hidden="false" customHeight="false" outlineLevel="0" collapsed="false">
      <c r="A23" s="5" t="n">
        <v>19</v>
      </c>
      <c r="B23" s="5" t="s">
        <v>50</v>
      </c>
      <c r="C23" s="5"/>
      <c r="D23" s="5" t="n">
        <v>8.03</v>
      </c>
      <c r="E23" s="5" t="s">
        <v>39</v>
      </c>
      <c r="F23" s="5" t="n">
        <v>8.11</v>
      </c>
      <c r="G23" s="5" t="s">
        <v>39</v>
      </c>
      <c r="H23" s="5" t="s">
        <v>94</v>
      </c>
    </row>
    <row r="24" customFormat="false" ht="15" hidden="false" customHeight="false" outlineLevel="0" collapsed="false">
      <c r="A24" s="6" t="n">
        <v>20</v>
      </c>
      <c r="B24" s="6" t="s">
        <v>51</v>
      </c>
      <c r="C24" s="6"/>
      <c r="D24" s="6" t="n">
        <v>3.04</v>
      </c>
      <c r="E24" s="6" t="s">
        <v>31</v>
      </c>
      <c r="F24" s="6" t="n">
        <v>2.88</v>
      </c>
      <c r="G24" s="6" t="s">
        <v>31</v>
      </c>
      <c r="H24" s="9" t="s">
        <v>93</v>
      </c>
    </row>
    <row r="25" customFormat="false" ht="15" hidden="false" customHeight="false" outlineLevel="0" collapsed="false">
      <c r="A25" s="5" t="n">
        <v>21</v>
      </c>
      <c r="B25" s="5" t="s">
        <v>52</v>
      </c>
      <c r="C25" s="5"/>
      <c r="D25" s="5" t="n">
        <v>3.31</v>
      </c>
      <c r="E25" s="5" t="s">
        <v>31</v>
      </c>
      <c r="F25" s="5" t="n">
        <v>3.38</v>
      </c>
      <c r="G25" s="5" t="s">
        <v>31</v>
      </c>
      <c r="H25" s="9" t="s">
        <v>93</v>
      </c>
    </row>
    <row r="26" customFormat="false" ht="15" hidden="false" customHeight="false" outlineLevel="0" collapsed="false">
      <c r="A26" s="6" t="n">
        <v>22</v>
      </c>
      <c r="B26" s="6" t="s">
        <v>53</v>
      </c>
      <c r="C26" s="6"/>
      <c r="D26" s="6" t="n">
        <v>6.05</v>
      </c>
      <c r="E26" s="6" t="s">
        <v>39</v>
      </c>
      <c r="F26" s="6" t="n">
        <v>8.83</v>
      </c>
      <c r="G26" s="6" t="s">
        <v>39</v>
      </c>
      <c r="H26" s="6" t="s">
        <v>94</v>
      </c>
    </row>
    <row r="27" customFormat="false" ht="15" hidden="false" customHeight="false" outlineLevel="0" collapsed="false">
      <c r="A27" s="5" t="n">
        <v>23</v>
      </c>
      <c r="B27" s="5" t="s">
        <v>54</v>
      </c>
      <c r="C27" s="5"/>
      <c r="D27" s="5" t="n">
        <v>4.29</v>
      </c>
      <c r="E27" s="5" t="s">
        <v>39</v>
      </c>
      <c r="F27" s="5" t="n">
        <v>6.43</v>
      </c>
      <c r="G27" s="5" t="s">
        <v>39</v>
      </c>
      <c r="H27" s="5" t="s">
        <v>94</v>
      </c>
    </row>
    <row r="28" customFormat="false" ht="15" hidden="false" customHeight="false" outlineLevel="0" collapsed="false">
      <c r="A28" s="6" t="n">
        <v>24</v>
      </c>
      <c r="B28" s="6" t="s">
        <v>55</v>
      </c>
      <c r="C28" s="6"/>
      <c r="D28" s="6" t="n">
        <v>5.16</v>
      </c>
      <c r="E28" s="6" t="s">
        <v>39</v>
      </c>
      <c r="F28" s="6" t="n">
        <v>7.07</v>
      </c>
      <c r="G28" s="6" t="s">
        <v>39</v>
      </c>
      <c r="H28" s="6" t="s">
        <v>94</v>
      </c>
    </row>
    <row r="29" customFormat="false" ht="15" hidden="false" customHeight="false" outlineLevel="0" collapsed="false">
      <c r="A29" s="5" t="n">
        <v>25</v>
      </c>
      <c r="B29" s="5" t="s">
        <v>56</v>
      </c>
      <c r="C29" s="5"/>
      <c r="D29" s="5" t="n">
        <v>5.1</v>
      </c>
      <c r="E29" s="5" t="s">
        <v>39</v>
      </c>
      <c r="F29" s="5" t="n">
        <v>8.12</v>
      </c>
      <c r="G29" s="5" t="s">
        <v>39</v>
      </c>
      <c r="H29" s="5" t="s">
        <v>94</v>
      </c>
    </row>
    <row r="30" customFormat="false" ht="15" hidden="false" customHeight="false" outlineLevel="0" collapsed="false">
      <c r="A30" s="6" t="n">
        <v>26</v>
      </c>
      <c r="B30" s="6" t="s">
        <v>57</v>
      </c>
      <c r="C30" s="6"/>
      <c r="D30" s="6" t="n">
        <v>3.15</v>
      </c>
      <c r="E30" s="6" t="s">
        <v>31</v>
      </c>
      <c r="F30" s="6" t="n">
        <v>2.9</v>
      </c>
      <c r="G30" s="6" t="s">
        <v>31</v>
      </c>
      <c r="H30" s="9" t="s">
        <v>93</v>
      </c>
    </row>
    <row r="31" customFormat="false" ht="15" hidden="false" customHeight="false" outlineLevel="0" collapsed="false">
      <c r="A31" s="5" t="n">
        <v>27</v>
      </c>
      <c r="B31" s="5" t="s">
        <v>58</v>
      </c>
      <c r="C31" s="5"/>
      <c r="D31" s="5" t="n">
        <v>4.39</v>
      </c>
      <c r="E31" s="5" t="s">
        <v>39</v>
      </c>
      <c r="F31" s="5" t="n">
        <v>4.14</v>
      </c>
      <c r="G31" s="5" t="s">
        <v>39</v>
      </c>
      <c r="H31" s="5" t="s">
        <v>94</v>
      </c>
    </row>
    <row r="32" customFormat="false" ht="15" hidden="false" customHeight="false" outlineLevel="0" collapsed="false">
      <c r="A32" s="6" t="n">
        <v>28</v>
      </c>
      <c r="B32" s="6" t="s">
        <v>59</v>
      </c>
      <c r="C32" s="6"/>
      <c r="D32" s="6" t="n">
        <v>3.07</v>
      </c>
      <c r="E32" s="6" t="s">
        <v>31</v>
      </c>
      <c r="F32" s="6" t="n">
        <v>2.85</v>
      </c>
      <c r="G32" s="6" t="s">
        <v>31</v>
      </c>
      <c r="H32" s="9" t="s">
        <v>93</v>
      </c>
    </row>
    <row r="33" customFormat="false" ht="15" hidden="false" customHeight="false" outlineLevel="0" collapsed="false">
      <c r="A33" s="5" t="n">
        <v>29</v>
      </c>
      <c r="B33" s="5" t="s">
        <v>60</v>
      </c>
      <c r="C33" s="5"/>
      <c r="D33" s="5" t="n">
        <v>5</v>
      </c>
      <c r="E33" s="5" t="s">
        <v>39</v>
      </c>
      <c r="F33" s="5" t="n">
        <v>5.97</v>
      </c>
      <c r="G33" s="5" t="s">
        <v>39</v>
      </c>
      <c r="H33" s="5" t="s">
        <v>94</v>
      </c>
    </row>
    <row r="34" customFormat="false" ht="15" hidden="false" customHeight="false" outlineLevel="0" collapsed="false">
      <c r="A34" s="6" t="n">
        <v>30</v>
      </c>
      <c r="B34" s="6" t="s">
        <v>61</v>
      </c>
      <c r="C34" s="6"/>
      <c r="D34" s="6" t="n">
        <v>7.28</v>
      </c>
      <c r="E34" s="6" t="s">
        <v>39</v>
      </c>
      <c r="F34" s="6" t="n">
        <v>7.01</v>
      </c>
      <c r="G34" s="6" t="s">
        <v>39</v>
      </c>
      <c r="H34" s="6" t="s">
        <v>94</v>
      </c>
    </row>
    <row r="35" customFormat="false" ht="15" hidden="false" customHeight="false" outlineLevel="0" collapsed="false">
      <c r="A35" s="5" t="n">
        <v>31</v>
      </c>
      <c r="B35" s="5" t="s">
        <v>62</v>
      </c>
      <c r="C35" s="5"/>
      <c r="D35" s="5" t="n">
        <v>9.31</v>
      </c>
      <c r="E35" s="5" t="s">
        <v>39</v>
      </c>
      <c r="F35" s="5" t="n">
        <v>8.71</v>
      </c>
      <c r="G35" s="5" t="s">
        <v>39</v>
      </c>
      <c r="H35" s="5" t="s">
        <v>94</v>
      </c>
    </row>
    <row r="36" customFormat="false" ht="15" hidden="false" customHeight="false" outlineLevel="0" collapsed="false">
      <c r="A36" s="6" t="n">
        <v>32</v>
      </c>
      <c r="B36" s="6" t="s">
        <v>63</v>
      </c>
      <c r="C36" s="6"/>
      <c r="D36" s="6" t="n">
        <v>7.15</v>
      </c>
      <c r="E36" s="6" t="s">
        <v>39</v>
      </c>
      <c r="F36" s="6" t="n">
        <v>6.84</v>
      </c>
      <c r="G36" s="6" t="s">
        <v>39</v>
      </c>
      <c r="H36" s="6" t="s">
        <v>94</v>
      </c>
    </row>
    <row r="37" customFormat="false" ht="15" hidden="false" customHeight="false" outlineLevel="0" collapsed="false">
      <c r="A37" s="5" t="n">
        <v>33</v>
      </c>
      <c r="B37" s="5" t="s">
        <v>64</v>
      </c>
      <c r="C37" s="5"/>
      <c r="D37" s="5" t="n">
        <v>9.13</v>
      </c>
      <c r="E37" s="5" t="s">
        <v>39</v>
      </c>
      <c r="F37" s="5" t="n">
        <v>9</v>
      </c>
      <c r="G37" s="5" t="s">
        <v>39</v>
      </c>
      <c r="H37" s="5" t="s">
        <v>94</v>
      </c>
    </row>
    <row r="38" customFormat="false" ht="15" hidden="false" customHeight="false" outlineLevel="0" collapsed="false">
      <c r="A38" s="6" t="n">
        <v>34</v>
      </c>
      <c r="B38" s="6" t="s">
        <v>65</v>
      </c>
      <c r="C38" s="6"/>
      <c r="D38" s="6" t="n">
        <v>8.74</v>
      </c>
      <c r="E38" s="6" t="s">
        <v>39</v>
      </c>
      <c r="F38" s="6" t="n">
        <v>6.02</v>
      </c>
      <c r="G38" s="6" t="s">
        <v>39</v>
      </c>
      <c r="H38" s="6" t="s">
        <v>94</v>
      </c>
    </row>
    <row r="39" customFormat="false" ht="15" hidden="false" customHeight="false" outlineLevel="0" collapsed="false">
      <c r="A39" s="5" t="n">
        <v>35</v>
      </c>
      <c r="B39" s="5" t="s">
        <v>66</v>
      </c>
      <c r="C39" s="5"/>
      <c r="D39" s="5" t="n">
        <v>4.4</v>
      </c>
      <c r="E39" s="5" t="s">
        <v>39</v>
      </c>
      <c r="F39" s="5" t="n">
        <v>4.3</v>
      </c>
      <c r="G39" s="5" t="s">
        <v>39</v>
      </c>
      <c r="H39" s="5" t="s">
        <v>94</v>
      </c>
    </row>
    <row r="40" customFormat="false" ht="15" hidden="false" customHeight="false" outlineLevel="0" collapsed="false">
      <c r="A40" s="6" t="n">
        <v>36</v>
      </c>
      <c r="B40" s="6" t="s">
        <v>67</v>
      </c>
      <c r="C40" s="6"/>
      <c r="D40" s="6" t="n">
        <v>3.78</v>
      </c>
      <c r="E40" s="6" t="s">
        <v>39</v>
      </c>
      <c r="F40" s="6" t="n">
        <v>4.55</v>
      </c>
      <c r="G40" s="6" t="s">
        <v>39</v>
      </c>
      <c r="H40" s="6" t="s">
        <v>94</v>
      </c>
    </row>
    <row r="41" customFormat="false" ht="15" hidden="false" customHeight="false" outlineLevel="0" collapsed="false">
      <c r="A41" s="5" t="n">
        <v>37</v>
      </c>
      <c r="B41" s="5" t="s">
        <v>68</v>
      </c>
      <c r="C41" s="5"/>
      <c r="D41" s="5" t="n">
        <v>9.44</v>
      </c>
      <c r="E41" s="5" t="s">
        <v>39</v>
      </c>
      <c r="F41" s="5" t="n">
        <v>9.79</v>
      </c>
      <c r="G41" s="5" t="s">
        <v>39</v>
      </c>
      <c r="H41" s="5" t="s">
        <v>94</v>
      </c>
    </row>
    <row r="42" customFormat="false" ht="15" hidden="false" customHeight="false" outlineLevel="0" collapsed="false">
      <c r="A42" s="6" t="n">
        <v>38</v>
      </c>
      <c r="B42" s="6" t="s">
        <v>69</v>
      </c>
      <c r="C42" s="6"/>
      <c r="D42" s="6" t="n">
        <v>6.83</v>
      </c>
      <c r="E42" s="6" t="s">
        <v>39</v>
      </c>
      <c r="F42" s="6" t="n">
        <v>5.86</v>
      </c>
      <c r="G42" s="6" t="s">
        <v>39</v>
      </c>
      <c r="H42" s="6" t="s">
        <v>94</v>
      </c>
    </row>
    <row r="43" customFormat="false" ht="15" hidden="false" customHeight="false" outlineLevel="0" collapsed="false">
      <c r="A43" s="5" t="n">
        <v>39</v>
      </c>
      <c r="B43" s="5" t="s">
        <v>70</v>
      </c>
      <c r="C43" s="5"/>
      <c r="D43" s="5" t="n">
        <v>12.11</v>
      </c>
      <c r="E43" s="5" t="s">
        <v>39</v>
      </c>
      <c r="F43" s="5" t="n">
        <v>10.48</v>
      </c>
      <c r="G43" s="5" t="s">
        <v>39</v>
      </c>
      <c r="H43" s="5" t="s">
        <v>94</v>
      </c>
    </row>
    <row r="44" customFormat="false" ht="15" hidden="false" customHeight="false" outlineLevel="0" collapsed="false">
      <c r="A44" s="6" t="n">
        <v>40</v>
      </c>
      <c r="B44" s="6" t="s">
        <v>71</v>
      </c>
      <c r="C44" s="6"/>
      <c r="D44" s="6" t="n">
        <v>9.13</v>
      </c>
      <c r="E44" s="6" t="s">
        <v>39</v>
      </c>
      <c r="F44" s="6" t="n">
        <v>8.96</v>
      </c>
      <c r="G44" s="6" t="s">
        <v>39</v>
      </c>
      <c r="H44" s="6" t="s">
        <v>94</v>
      </c>
    </row>
    <row r="45" customFormat="false" ht="15" hidden="false" customHeight="false" outlineLevel="0" collapsed="false">
      <c r="A45" s="5" t="n">
        <v>41</v>
      </c>
      <c r="B45" s="5" t="s">
        <v>72</v>
      </c>
      <c r="C45" s="5"/>
      <c r="D45" s="5" t="n">
        <v>12.28</v>
      </c>
      <c r="E45" s="5" t="s">
        <v>39</v>
      </c>
      <c r="F45" s="5" t="n">
        <v>8.94</v>
      </c>
      <c r="G45" s="5" t="s">
        <v>39</v>
      </c>
      <c r="H45" s="5" t="s">
        <v>94</v>
      </c>
    </row>
    <row r="47" customFormat="false" ht="158.2" hidden="false" customHeight="false" outlineLevel="0" collapsed="false">
      <c r="A47" s="7" t="s">
        <v>95</v>
      </c>
    </row>
    <row r="48" customFormat="false" ht="376.85" hidden="false" customHeight="false" outlineLevel="0" collapsed="false">
      <c r="A48" s="7" t="s">
        <v>96</v>
      </c>
    </row>
    <row r="49" customFormat="false" ht="199.95" hidden="false" customHeight="false" outlineLevel="0" collapsed="false">
      <c r="A49" s="7" t="s">
        <v>97</v>
      </c>
    </row>
    <row r="50" customFormat="false" ht="533.55" hidden="false" customHeight="false" outlineLevel="0" collapsed="false">
      <c r="A50" s="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12</v>
      </c>
    </row>
    <row r="2" customFormat="false" ht="85.05" hidden="false" customHeight="false" outlineLevel="0" collapsed="false">
      <c r="A2" s="2" t="s">
        <v>99</v>
      </c>
    </row>
    <row r="4" customFormat="false" ht="31.5" hidden="false" customHeight="true" outlineLevel="0" collapsed="false">
      <c r="A4" s="4" t="s">
        <v>21</v>
      </c>
      <c r="B4" s="4" t="s">
        <v>100</v>
      </c>
      <c r="C4" s="4" t="s">
        <v>101</v>
      </c>
      <c r="D4" s="4" t="s">
        <v>102</v>
      </c>
      <c r="E4" s="4" t="s">
        <v>103</v>
      </c>
    </row>
    <row r="5" customFormat="false" ht="15" hidden="false" customHeight="false" outlineLevel="0" collapsed="false">
      <c r="A5" s="5" t="s">
        <v>35</v>
      </c>
      <c r="B5" s="5" t="n">
        <v>25</v>
      </c>
      <c r="C5" s="5" t="n">
        <v>31</v>
      </c>
      <c r="D5" s="12" t="n">
        <f aca="false">B5/C5</f>
        <v>0.806451612903226</v>
      </c>
      <c r="E5" s="5" t="n">
        <v>1</v>
      </c>
    </row>
    <row r="6" customFormat="false" ht="15" hidden="false" customHeight="false" outlineLevel="0" collapsed="false">
      <c r="A6" s="6" t="s">
        <v>36</v>
      </c>
      <c r="B6" s="6" t="n">
        <v>24</v>
      </c>
      <c r="C6" s="6" t="n">
        <v>30</v>
      </c>
      <c r="D6" s="13" t="n">
        <f aca="false">B6/C6</f>
        <v>0.8</v>
      </c>
      <c r="E6" s="6" t="n">
        <v>1</v>
      </c>
    </row>
    <row r="7" customFormat="false" ht="15" hidden="false" customHeight="false" outlineLevel="0" collapsed="false">
      <c r="A7" s="5" t="s">
        <v>104</v>
      </c>
      <c r="B7" s="5" t="n">
        <v>22</v>
      </c>
      <c r="C7" s="5" t="n">
        <v>26</v>
      </c>
      <c r="D7" s="12" t="n">
        <f aca="false">B7/C7</f>
        <v>0.846153846153846</v>
      </c>
      <c r="E7" s="5"/>
    </row>
    <row r="9" customFormat="false" ht="32.8" hidden="false" customHeight="false" outlineLevel="0" collapsed="false">
      <c r="A9" s="7" t="s">
        <v>105</v>
      </c>
    </row>
    <row r="10" customFormat="false" ht="32.8" hidden="false" customHeight="false" outlineLevel="0" collapsed="false">
      <c r="A10" s="7" t="s">
        <v>106</v>
      </c>
    </row>
    <row r="11" customFormat="false" ht="95.5" hidden="false" customHeight="false" outlineLevel="0" collapsed="false">
      <c r="A11" s="7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84"/>
  </cols>
  <sheetData>
    <row r="1" customFormat="false" ht="19.7" hidden="false" customHeight="false" outlineLevel="0" collapsed="false">
      <c r="A1" s="1" t="s">
        <v>14</v>
      </c>
    </row>
    <row r="2" customFormat="false" ht="85.05" hidden="false" customHeight="false" outlineLevel="0" collapsed="false">
      <c r="A2" s="2" t="s">
        <v>108</v>
      </c>
    </row>
    <row r="4" customFormat="false" ht="31.5" hidden="false" customHeight="true" outlineLevel="0" collapsed="false">
      <c r="A4" s="4" t="s">
        <v>109</v>
      </c>
      <c r="B4" s="4" t="s">
        <v>110</v>
      </c>
      <c r="C4" s="4" t="s">
        <v>79</v>
      </c>
    </row>
    <row r="5" customFormat="false" ht="35.05" hidden="false" customHeight="false" outlineLevel="0" collapsed="false">
      <c r="A5" s="5" t="s">
        <v>111</v>
      </c>
      <c r="B5" s="5" t="n">
        <v>0.988</v>
      </c>
      <c r="C5" s="11" t="s">
        <v>112</v>
      </c>
    </row>
    <row r="6" customFormat="false" ht="15" hidden="false" customHeight="false" outlineLevel="0" collapsed="false">
      <c r="A6" s="6" t="s">
        <v>113</v>
      </c>
      <c r="B6" s="6" t="n">
        <v>0.507</v>
      </c>
      <c r="C6" s="6" t="s">
        <v>114</v>
      </c>
    </row>
    <row r="7" customFormat="false" ht="15" hidden="false" customHeight="false" outlineLevel="0" collapsed="false">
      <c r="A7" s="5" t="s">
        <v>7</v>
      </c>
      <c r="B7" s="5" t="s">
        <v>115</v>
      </c>
      <c r="C7" s="5" t="s">
        <v>116</v>
      </c>
    </row>
    <row r="8" customFormat="false" ht="15" hidden="false" customHeight="false" outlineLevel="0" collapsed="false">
      <c r="A8" s="6" t="s">
        <v>36</v>
      </c>
      <c r="B8" s="6" t="s">
        <v>117</v>
      </c>
      <c r="C8" s="6"/>
    </row>
    <row r="9" customFormat="false" ht="15" hidden="false" customHeight="false" outlineLevel="0" collapsed="false">
      <c r="A9" s="5" t="s">
        <v>35</v>
      </c>
      <c r="B9" s="5" t="s">
        <v>118</v>
      </c>
      <c r="C9" s="5"/>
    </row>
    <row r="11" customFormat="false" ht="147.75" hidden="false" customHeight="false" outlineLevel="0" collapsed="false">
      <c r="A11" s="7" t="s">
        <v>119</v>
      </c>
    </row>
    <row r="12" customFormat="false" ht="74.6" hidden="false" customHeight="false" outlineLevel="0" collapsed="false">
      <c r="A12" s="7" t="s">
        <v>120</v>
      </c>
    </row>
    <row r="13" customFormat="false" ht="179.1" hidden="false" customHeight="false" outlineLevel="0" collapsed="false">
      <c r="A13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52"/>
  </cols>
  <sheetData>
    <row r="1" customFormat="false" ht="19.7" hidden="false" customHeight="false" outlineLevel="0" collapsed="false">
      <c r="A1" s="1" t="s">
        <v>16</v>
      </c>
    </row>
    <row r="2" customFormat="false" ht="25.35" hidden="false" customHeight="false" outlineLevel="0" collapsed="false">
      <c r="A2" s="2" t="s">
        <v>122</v>
      </c>
    </row>
    <row r="4" customFormat="false" ht="31.5" hidden="false" customHeight="true" outlineLevel="0" collapsed="false">
      <c r="A4" s="4" t="s">
        <v>123</v>
      </c>
      <c r="B4" s="4" t="s">
        <v>124</v>
      </c>
    </row>
    <row r="5" customFormat="false" ht="35.05" hidden="false" customHeight="false" outlineLevel="0" collapsed="false">
      <c r="A5" s="9" t="s">
        <v>125</v>
      </c>
      <c r="B5" s="10" t="s">
        <v>126</v>
      </c>
    </row>
    <row r="6" customFormat="false" ht="15" hidden="false" customHeight="false" outlineLevel="0" collapsed="false">
      <c r="A6" s="9" t="s">
        <v>127</v>
      </c>
      <c r="B6" s="10" t="s">
        <v>128</v>
      </c>
    </row>
    <row r="7" customFormat="false" ht="23.85" hidden="false" customHeight="false" outlineLevel="0" collapsed="false">
      <c r="A7" s="9" t="s">
        <v>129</v>
      </c>
      <c r="B7" s="10" t="s">
        <v>130</v>
      </c>
    </row>
    <row r="8" customFormat="false" ht="23.85" hidden="false" customHeight="false" outlineLevel="0" collapsed="false">
      <c r="A8" s="9" t="s">
        <v>131</v>
      </c>
      <c r="B8" s="10" t="s">
        <v>132</v>
      </c>
    </row>
    <row r="9" customFormat="false" ht="35.05" hidden="false" customHeight="false" outlineLevel="0" collapsed="false">
      <c r="A9" s="9" t="s">
        <v>133</v>
      </c>
      <c r="B9" s="10" t="s">
        <v>134</v>
      </c>
    </row>
    <row r="12" customFormat="false" ht="32.8" hidden="false" customHeight="false" outlineLevel="0" collapsed="false">
      <c r="A12" s="7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6" topLeftCell="A2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6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136</v>
      </c>
    </row>
    <row r="2" customFormat="false" ht="73.1" hidden="false" customHeight="false" outlineLevel="0" collapsed="false">
      <c r="A2" s="2" t="s">
        <v>137</v>
      </c>
    </row>
    <row r="4" customFormat="false" ht="15" hidden="false" customHeight="false" outlineLevel="0" collapsed="false">
      <c r="A4" s="14" t="s">
        <v>138</v>
      </c>
    </row>
    <row r="5" customFormat="false" ht="31.5" hidden="false" customHeight="true" outlineLevel="0" collapsed="false">
      <c r="A5" s="4" t="s">
        <v>139</v>
      </c>
      <c r="B5" s="4" t="s">
        <v>140</v>
      </c>
      <c r="C5" s="4" t="s">
        <v>141</v>
      </c>
    </row>
    <row r="6" customFormat="false" ht="46.25" hidden="false" customHeight="false" outlineLevel="0" collapsed="false">
      <c r="A6" s="5" t="s">
        <v>142</v>
      </c>
      <c r="B6" s="5" t="s">
        <v>143</v>
      </c>
      <c r="C6" s="5" t="s">
        <v>144</v>
      </c>
    </row>
    <row r="7" customFormat="false" ht="35.05" hidden="false" customHeight="false" outlineLevel="0" collapsed="false">
      <c r="A7" s="6" t="s">
        <v>145</v>
      </c>
      <c r="B7" s="6" t="s">
        <v>146</v>
      </c>
      <c r="C7" s="6" t="s">
        <v>147</v>
      </c>
    </row>
    <row r="8" customFormat="false" ht="46.25" hidden="false" customHeight="false" outlineLevel="0" collapsed="false">
      <c r="A8" s="5" t="s">
        <v>148</v>
      </c>
      <c r="B8" s="5" t="s">
        <v>149</v>
      </c>
      <c r="C8" s="5" t="s">
        <v>150</v>
      </c>
    </row>
    <row r="9" customFormat="false" ht="57.45" hidden="false" customHeight="false" outlineLevel="0" collapsed="false">
      <c r="A9" s="6" t="s">
        <v>151</v>
      </c>
      <c r="B9" s="6" t="s">
        <v>152</v>
      </c>
      <c r="C9" s="6" t="s">
        <v>153</v>
      </c>
    </row>
    <row r="10" customFormat="false" ht="79.85" hidden="false" customHeight="false" outlineLevel="0" collapsed="false">
      <c r="A10" s="5" t="s">
        <v>154</v>
      </c>
      <c r="B10" s="5" t="s">
        <v>155</v>
      </c>
      <c r="C10" s="5" t="s">
        <v>156</v>
      </c>
    </row>
    <row r="12" customFormat="false" ht="15" hidden="false" customHeight="false" outlineLevel="0" collapsed="false">
      <c r="A12" s="14" t="s">
        <v>157</v>
      </c>
    </row>
    <row r="13" customFormat="false" ht="31.5" hidden="false" customHeight="true" outlineLevel="0" collapsed="false">
      <c r="A13" s="4" t="s">
        <v>158</v>
      </c>
      <c r="B13" s="4" t="s">
        <v>110</v>
      </c>
      <c r="C13" s="4" t="s">
        <v>159</v>
      </c>
      <c r="D13" s="4" t="s">
        <v>160</v>
      </c>
    </row>
    <row r="14" customFormat="false" ht="23.85" hidden="false" customHeight="false" outlineLevel="0" collapsed="false">
      <c r="A14" s="5" t="s">
        <v>161</v>
      </c>
      <c r="B14" s="5" t="n">
        <v>125</v>
      </c>
      <c r="C14" s="5" t="s">
        <v>162</v>
      </c>
      <c r="D14" s="5" t="s">
        <v>163</v>
      </c>
    </row>
    <row r="15" customFormat="false" ht="15" hidden="false" customHeight="false" outlineLevel="0" collapsed="false">
      <c r="A15" s="6" t="s">
        <v>164</v>
      </c>
      <c r="B15" s="6" t="n">
        <v>0.38</v>
      </c>
      <c r="C15" s="6" t="s">
        <v>165</v>
      </c>
      <c r="D15" s="6" t="s">
        <v>166</v>
      </c>
    </row>
    <row r="16" customFormat="false" ht="15" hidden="false" customHeight="false" outlineLevel="0" collapsed="false">
      <c r="A16" s="5" t="s">
        <v>167</v>
      </c>
      <c r="B16" s="15" t="n">
        <f aca="false">1-B15</f>
        <v>0.62</v>
      </c>
      <c r="C16" s="5" t="s">
        <v>165</v>
      </c>
      <c r="D16" s="5" t="s">
        <v>168</v>
      </c>
    </row>
    <row r="17" customFormat="false" ht="15" hidden="false" customHeight="false" outlineLevel="0" collapsed="false">
      <c r="A17" s="6" t="s">
        <v>169</v>
      </c>
      <c r="B17" s="16" t="n">
        <f aca="false">B14*B16</f>
        <v>77.5</v>
      </c>
      <c r="C17" s="6" t="s">
        <v>162</v>
      </c>
      <c r="D17" s="6" t="s">
        <v>170</v>
      </c>
    </row>
    <row r="18" customFormat="false" ht="15" hidden="false" customHeight="false" outlineLevel="0" collapsed="false">
      <c r="A18" s="5" t="s">
        <v>171</v>
      </c>
      <c r="B18" s="5" t="n">
        <v>388</v>
      </c>
      <c r="C18" s="5" t="s">
        <v>162</v>
      </c>
      <c r="D18" s="5" t="s">
        <v>172</v>
      </c>
    </row>
    <row r="19" customFormat="false" ht="15" hidden="false" customHeight="false" outlineLevel="0" collapsed="false">
      <c r="A19" s="6" t="s">
        <v>173</v>
      </c>
      <c r="B19" s="16" t="n">
        <f aca="false">B18/B17</f>
        <v>5.00645161290323</v>
      </c>
      <c r="C19" s="6" t="s">
        <v>174</v>
      </c>
      <c r="D19" s="6" t="s">
        <v>175</v>
      </c>
    </row>
    <row r="21" customFormat="false" ht="53.7" hidden="false" customHeight="false" outlineLevel="0" collapsed="false">
      <c r="A21" s="7" t="s">
        <v>176</v>
      </c>
    </row>
    <row r="22" customFormat="false" ht="32.8" hidden="false" customHeight="false" outlineLevel="0" collapsed="false">
      <c r="A22" s="7" t="s">
        <v>177</v>
      </c>
    </row>
    <row r="23" customFormat="false" ht="43.25" hidden="false" customHeight="false" outlineLevel="0" collapsed="false">
      <c r="A23" s="7" t="s">
        <v>178</v>
      </c>
    </row>
    <row r="25" customFormat="false" ht="15" hidden="false" customHeight="false" outlineLevel="0" collapsed="false">
      <c r="A25" s="14" t="s">
        <v>179</v>
      </c>
    </row>
    <row r="26" customFormat="false" ht="31.5" hidden="false" customHeight="true" outlineLevel="0" collapsed="false">
      <c r="A26" s="4" t="s">
        <v>180</v>
      </c>
      <c r="B26" s="4" t="s">
        <v>181</v>
      </c>
    </row>
    <row r="27" customFormat="false" ht="15" hidden="false" customHeight="false" outlineLevel="0" collapsed="false">
      <c r="A27" s="11" t="s">
        <v>182</v>
      </c>
      <c r="B27" s="5" t="s">
        <v>183</v>
      </c>
    </row>
    <row r="28" customFormat="false" ht="23.85" hidden="false" customHeight="false" outlineLevel="0" collapsed="false">
      <c r="A28" s="11" t="s">
        <v>184</v>
      </c>
      <c r="B28" s="6" t="s">
        <v>185</v>
      </c>
    </row>
    <row r="29" customFormat="false" ht="23.85" hidden="false" customHeight="false" outlineLevel="0" collapsed="false">
      <c r="A29" s="11" t="s">
        <v>186</v>
      </c>
      <c r="B29" s="5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2026-10-20T09:44:35Z</dcterms:created>
  <dc:creator>openpyxl</dc:creator>
  <dc:description/>
  <dc:language>en-US</dc:language>
  <cp:lastModifiedBy/>
  <dcterms:modified xsi:type="dcterms:W3CDTF">2026-10-20T09:44:35Z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